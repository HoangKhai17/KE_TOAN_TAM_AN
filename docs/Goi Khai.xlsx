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8_{20BCA980-0B5A-416F-8C2B-B62DC164AE70}" xr6:coauthVersionLast="47" xr6:coauthVersionMax="47" xr10:uidLastSave="{00000000-0000-0000-0000-000000000000}"/>
  <bookViews>
    <workbookView xWindow="-120" yWindow="-120" windowWidth="29040" windowHeight="15720" tabRatio="830" activeTab="6" xr2:uid="{24624678-D8B0-4ECF-8AB7-D7F8513C8317}"/>
  </bookViews>
  <sheets>
    <sheet name="Báo cáo theo từng loại CV" sheetId="1" r:id="rId1"/>
    <sheet name="Báo cáo theo tiến độ CV" sheetId="3" r:id="rId2"/>
    <sheet name="Báo cáo theo dõi nợ NSNN" sheetId="2" r:id="rId3"/>
    <sheet name="Theo dõi Hợp đồng KH.NCC" sheetId="6" r:id="rId4"/>
    <sheet name="HS lưu trữ khi QT" sheetId="5" r:id="rId5"/>
    <sheet name="Theo dõi Hợp đồng LĐ" sheetId="7" r:id="rId6"/>
    <sheet name="Lịch cv" sheetId="4" r:id="rId7"/>
  </sheets>
  <definedNames>
    <definedName name="_xlnm._FilterDatabase" localSheetId="2" hidden="1">'Báo cáo theo dõi nợ NSNN'!$A$3:$N$10</definedName>
    <definedName name="_xlnm._FilterDatabase" localSheetId="1" hidden="1">'Báo cáo theo tiến độ CV'!$A$3:$N$11</definedName>
    <definedName name="_xlnm._FilterDatabase" localSheetId="3" hidden="1">'Theo dõi Hợp đồng KH.NCC'!$F$1:$N$1</definedName>
    <definedName name="_xlnm._FilterDatabase" localSheetId="5" hidden="1">'Theo dõi Hợp đồng LĐ'!$E$1:$M$1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K2" i="6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13" i="3"/>
  <c r="I5" i="2"/>
  <c r="I6" i="2"/>
  <c r="I7" i="2"/>
  <c r="I8" i="2"/>
  <c r="I9" i="2"/>
  <c r="I10" i="2"/>
  <c r="I4" i="2"/>
  <c r="I11" i="3"/>
  <c r="I10" i="3"/>
  <c r="I9" i="3"/>
  <c r="I8" i="3"/>
  <c r="I7" i="3"/>
  <c r="I6" i="3"/>
  <c r="I5" i="3"/>
  <c r="I4" i="3"/>
  <c r="A5" i="2"/>
  <c r="A6" i="2" s="1"/>
  <c r="A7" i="2" s="1"/>
  <c r="A8" i="2" s="1"/>
  <c r="A9" i="2" s="1"/>
  <c r="A10" i="2" s="1"/>
</calcChain>
</file>

<file path=xl/sharedStrings.xml><?xml version="1.0" encoding="utf-8"?>
<sst xmlns="http://schemas.openxmlformats.org/spreadsheetml/2006/main" count="283" uniqueCount="122">
  <si>
    <t>Tên khách hàng</t>
  </si>
  <si>
    <t>Mã số thuế</t>
  </si>
  <si>
    <t>NV quản lý</t>
  </si>
  <si>
    <t>Làm bảng lương</t>
  </si>
  <si>
    <t>Gởi KH xác nhận</t>
  </si>
  <si>
    <t>Chốt thông tin</t>
  </si>
  <si>
    <t>Làm hoàn thiện dữ liệu trong bảng tổng lương</t>
  </si>
  <si>
    <t>Thông báo tiền nộp bảo hiểm + KPCĐ</t>
  </si>
  <si>
    <t>Theo dõi việc thanh toán</t>
  </si>
  <si>
    <t>Theo dõi nộp tiền bảo hiểm, KPCĐ</t>
  </si>
  <si>
    <t>Cty 1</t>
  </si>
  <si>
    <t>Thảo</t>
  </si>
  <si>
    <t>x</t>
  </si>
  <si>
    <t>Cty 2</t>
  </si>
  <si>
    <t>Liên</t>
  </si>
  <si>
    <t>…...</t>
  </si>
  <si>
    <t>BẢNG THEO DÕI TIẾN ĐỘ BẢNG LƯƠNG VỚI KH - Tháng 5/2026</t>
  </si>
  <si>
    <t>Từ cột D - J</t>
  </si>
  <si>
    <t>Là các đầu check list công việc</t>
  </si>
  <si>
    <t>Những công việc định kỳ đều có mẫu báo cáo tương tự như vậy</t>
  </si>
  <si>
    <t>Từ cột A-C</t>
  </si>
  <si>
    <t>Là bảng cáo cáo nào cũng giống nhau</t>
  </si>
  <si>
    <t>BẢNG THEO DÕI CÔNG VIỆC THEO TỪNG KHÁCH HÀNG</t>
  </si>
  <si>
    <t>STT</t>
  </si>
  <si>
    <t>Quản lý</t>
  </si>
  <si>
    <t>Công ty</t>
  </si>
  <si>
    <t>Loại chứng từ, công việc</t>
  </si>
  <si>
    <t>Dữ diệu tại thời điểm</t>
  </si>
  <si>
    <t>Thời điểm cập nhật</t>
  </si>
  <si>
    <t>Ghi chú</t>
  </si>
  <si>
    <t>Cty Terrapack</t>
  </si>
  <si>
    <t>Làm bảng lương gởi KH</t>
  </si>
  <si>
    <t>Bảng lương (hoàn thiện)</t>
  </si>
  <si>
    <t>Thanh toán lương</t>
  </si>
  <si>
    <t>Báo KH Bảo hiểm + KPCĐ</t>
  </si>
  <si>
    <t>KH đã nộp tiền bảo hiểm đến 31/05/26</t>
  </si>
  <si>
    <t>KH đã nộp tiền KPCĐ đến 31/05/26</t>
  </si>
  <si>
    <t>Đối chiếu C12</t>
  </si>
  <si>
    <t>Kiểm tra nợ thuế</t>
  </si>
  <si>
    <t>Phạm trù</t>
  </si>
  <si>
    <t>KH xác nhận, kiểm tra sao kê ngân hàng</t>
  </si>
  <si>
    <t>Gởi KH</t>
  </si>
  <si>
    <t xml:space="preserve">Làm excel  bảng theo dõi </t>
  </si>
  <si>
    <t>Làm excel bảng lương</t>
  </si>
  <si>
    <t>KH xác nhận</t>
  </si>
  <si>
    <t>Nợ tiền thuế GTGT</t>
  </si>
  <si>
    <t>Nợ tiền thuế TNDN</t>
  </si>
  <si>
    <t>Nợ tiền thuế TNCN</t>
  </si>
  <si>
    <t>Nợ tiền phạt</t>
  </si>
  <si>
    <t>Nợ tiền bảo hiểm KPCĐ</t>
  </si>
  <si>
    <t>Nợ tiền bảo hiểm mã ĐV Q6</t>
  </si>
  <si>
    <t>Nợ tiền bảo hiểm mã ĐV chính</t>
  </si>
  <si>
    <t>Số tiền nợ NSNN</t>
  </si>
  <si>
    <t>Kiểm tra trên trang thuế ĐT</t>
  </si>
  <si>
    <t>Làm bảng excel + đối chiếu C12</t>
  </si>
  <si>
    <t>Làm bảng excel</t>
  </si>
  <si>
    <t>Số ngày chậm so với hôm nay</t>
  </si>
  <si>
    <t>Số lần lặp lại cho 1 công việc</t>
  </si>
  <si>
    <t>Bán ra</t>
  </si>
  <si>
    <t>Nhập Misa</t>
  </si>
  <si>
    <t>Mua vào</t>
  </si>
  <si>
    <t>Đối chiếu khớp doanh thu TNDN và doanh thu GTGT</t>
  </si>
  <si>
    <t>Làm</t>
  </si>
  <si>
    <t>Làm giá thành excel</t>
  </si>
  <si>
    <t>Làm file excel</t>
  </si>
  <si>
    <t>Làm giá thành Misa</t>
  </si>
  <si>
    <t>Làm Misa</t>
  </si>
  <si>
    <t>Hoàn thiện NXT</t>
  </si>
  <si>
    <t>Hoàn thiện công nợ 131</t>
  </si>
  <si>
    <t>Hoàn thiện công nợ 331</t>
  </si>
  <si>
    <t>Gởi Nhập-Xuất-Tồn với KH</t>
  </si>
  <si>
    <t>Xác nhận Nhập-Xuất-Tồn với KH</t>
  </si>
  <si>
    <t>Gởi công nợ phải thu với KH</t>
  </si>
  <si>
    <t>Xác nhận công nợ phải thu với KH</t>
  </si>
  <si>
    <t>Gởi công nợ phải trả với KH</t>
  </si>
  <si>
    <t>Xác nhận công nợ phải trả với KH</t>
  </si>
  <si>
    <t>….....</t>
  </si>
  <si>
    <t>BẢNG THEO DÕI HỒ SƠ LƯU TRỮ THEO TỪNG KHÁCH HÀNG</t>
  </si>
  <si>
    <t>HĐ nguyên tắc ngày hợp đồng 22/05/2026 - Công nợ 40 ngày</t>
  </si>
  <si>
    <t>Bản giấy, Giám đốc hai bên ký tên + đóng dấu</t>
  </si>
  <si>
    <t>Khách hàng</t>
  </si>
  <si>
    <t>Loại chứng từ</t>
  </si>
  <si>
    <t>Chi tiết</t>
  </si>
  <si>
    <t>Năm 2026</t>
  </si>
  <si>
    <t>Đặc điểm</t>
  </si>
  <si>
    <t>Tháng</t>
  </si>
  <si>
    <t>Năm</t>
  </si>
  <si>
    <t>Terrapack</t>
  </si>
  <si>
    <t>Bảng chấm công +  Bảng lương</t>
  </si>
  <si>
    <t>Bản giấy, Giám đốc ký tên + đóng dấu</t>
  </si>
  <si>
    <t>Hợp đồng nhà cung cấp</t>
  </si>
  <si>
    <t>Theo file Theo dõi Hợp đồng</t>
  </si>
  <si>
    <t>Biên bản xác nhận giao hàng thiếu</t>
  </si>
  <si>
    <t>Clutch, Inc</t>
  </si>
  <si>
    <t>Hợp đồng thuê DDKD</t>
  </si>
  <si>
    <t>Thuê của Trần Cẩm Tú</t>
  </si>
  <si>
    <t>kps</t>
  </si>
  <si>
    <t>Theo tờ khai xuất khẩu số 308413539140</t>
  </si>
  <si>
    <t>Song ngữ</t>
  </si>
  <si>
    <t>RTJ</t>
  </si>
  <si>
    <t>Hồ sơ xuất khẩu (Tờ khai xuất khẩu, Hợp đồng xuất khẩu, PO, Invoice)</t>
  </si>
  <si>
    <t>Bảng theo dõi TK xuất khẩu</t>
  </si>
  <si>
    <t>Thuê của Lê Thị Thu Thảo</t>
  </si>
  <si>
    <t>Đối tượng Hợp đồng</t>
  </si>
  <si>
    <t>Tên đối tượng</t>
  </si>
  <si>
    <t>Nội dung Hợp đồng</t>
  </si>
  <si>
    <t>Số Hợp đồng</t>
  </si>
  <si>
    <t>Ngày Hợp đồng</t>
  </si>
  <si>
    <t>Ngày kết thúc</t>
  </si>
  <si>
    <t>Số ngày còn lại HĐ</t>
  </si>
  <si>
    <t>Nhà cung cấp</t>
  </si>
  <si>
    <t>Tình trạng</t>
  </si>
  <si>
    <t>Bảng này theo dõi theo năm</t>
  </si>
  <si>
    <t>Tên nhân viên</t>
  </si>
  <si>
    <t>Loại hợp đồng</t>
  </si>
  <si>
    <t>CV định kỳ</t>
  </si>
  <si>
    <t>CV KH yêu cầu</t>
  </si>
  <si>
    <t>CV tự sắp xếp</t>
  </si>
  <si>
    <t>Cv đi ra ngoài</t>
  </si>
  <si>
    <t>4 nguồn công việc</t>
  </si>
  <si>
    <t>Yêu cầu KH</t>
  </si>
  <si>
    <t>Nhóm theo từng 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</si>
</sst>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/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Microsoft Sans Serif"/>
      <family val="2"/>
    </font>
    <font>
      <b/>
      <sz val="11"/>
      <color theme="1"/>
      <name val="Microsoft Sans Serif"/>
      <family val="2"/>
    </font>
    <font>
      <b/>
      <sz val="10"/>
      <color theme="1"/>
      <name val="Microsoft Sans Serif"/>
    </font>
    <font>
      <b/>
      <sz val="10"/>
      <color theme="1"/>
      <name val="Microsoft Sans Serif"/>
      <family val="2"/>
    </font>
    <font>
      <sz val="10"/>
      <color theme="1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/>
    <xf numFmtId="165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0" xfId="0" applyNumberFormat="1" applyFont="1"/>
    <xf numFmtId="0" fontId="7" fillId="0" borderId="2" xfId="0" applyFont="1" applyBorder="1"/>
    <xf numFmtId="165" fontId="7" fillId="0" borderId="2" xfId="0" applyNumberFormat="1" applyFont="1" applyBorder="1" applyAlignment="1">
      <alignment horizontal="center"/>
    </xf>
    <xf numFmtId="0" fontId="7" fillId="0" borderId="0" xfId="0" applyFont="1"/>
    <xf numFmtId="0" fontId="3" fillId="0" borderId="2" xfId="1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7" fillId="0" borderId="2" xfId="0" applyFont="1" applyBorder="1" applyAlignment="1">
      <alignment horizontal="center" wrapText="1"/>
    </xf>
    <xf numFmtId="0" fontId="3" fillId="0" borderId="3" xfId="0" applyFont="1" applyBorder="1"/>
    <xf numFmtId="164" fontId="3" fillId="0" borderId="3" xfId="1" applyNumberFormat="1" applyFont="1" applyBorder="1" applyAlignment="1">
      <alignment horizontal="center"/>
    </xf>
    <xf numFmtId="0" fontId="3" fillId="0" borderId="3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65" fontId="3" fillId="0" borderId="2" xfId="1" applyNumberFormat="1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3" fillId="0" borderId="3" xfId="1" applyNumberFormat="1" applyFont="1" applyBorder="1"/>
    <xf numFmtId="165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Border="1"/>
    <xf numFmtId="0" fontId="3" fillId="0" borderId="3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8598-869A-40D0-9AAD-266F82912B0E}">
  <sheetPr>
    <tabColor rgb="FFFFC000"/>
  </sheetPr>
  <dimension ref="A2:J18"/>
  <sheetViews>
    <sheetView workbookViewId="0">
      <selection activeCell="D5" sqref="A5:D6"/>
    </sheetView>
  </sheetViews>
  <sheetFormatPr defaultRowHeight="15" x14ac:dyDescent="0.25"/>
  <cols>
    <col min="1" max="1" width="15.42578125" customWidth="1"/>
    <col min="2" max="2" width="15" customWidth="1"/>
    <col min="3" max="3" width="15.28515625" customWidth="1"/>
    <col min="4" max="4" width="10.85546875" customWidth="1"/>
    <col min="5" max="5" width="11.140625" customWidth="1"/>
  </cols>
  <sheetData>
    <row r="2" spans="1:10" x14ac:dyDescent="0.25">
      <c r="A2" t="s">
        <v>16</v>
      </c>
    </row>
    <row r="4" spans="1:10" ht="120" x14ac:dyDescent="0.25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x14ac:dyDescent="0.25">
      <c r="A5" s="3" t="s">
        <v>10</v>
      </c>
      <c r="B5" s="3"/>
      <c r="C5" s="4" t="s">
        <v>11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</row>
    <row r="6" spans="1:10" x14ac:dyDescent="0.25">
      <c r="A6" s="3" t="s">
        <v>13</v>
      </c>
      <c r="B6" s="3"/>
      <c r="C6" s="4" t="s">
        <v>14</v>
      </c>
      <c r="D6" s="4" t="s">
        <v>12</v>
      </c>
      <c r="E6" s="4"/>
      <c r="F6" s="4"/>
      <c r="G6" s="4"/>
      <c r="H6" s="4"/>
      <c r="I6" s="4"/>
      <c r="J6" s="4"/>
    </row>
    <row r="7" spans="1:10" x14ac:dyDescent="0.25">
      <c r="A7" s="3" t="s">
        <v>15</v>
      </c>
      <c r="B7" s="3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4"/>
      <c r="D8" s="4"/>
      <c r="E8" s="4"/>
      <c r="F8" s="4"/>
      <c r="G8" s="4"/>
      <c r="H8" s="4"/>
      <c r="I8" s="4"/>
      <c r="J8" s="4"/>
    </row>
    <row r="9" spans="1:10" x14ac:dyDescent="0.25">
      <c r="A9" s="3"/>
      <c r="B9" s="3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3"/>
      <c r="B10" s="3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3"/>
      <c r="B11" s="3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3"/>
      <c r="B12" s="3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3"/>
      <c r="B13" s="3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6" spans="1:10" x14ac:dyDescent="0.25">
      <c r="A16" t="s">
        <v>20</v>
      </c>
      <c r="B16" t="s">
        <v>21</v>
      </c>
    </row>
    <row r="17" spans="1:2" x14ac:dyDescent="0.25">
      <c r="A17" t="s">
        <v>17</v>
      </c>
      <c r="B17" t="s">
        <v>18</v>
      </c>
    </row>
    <row r="18" spans="1:2" x14ac:dyDescent="0.25">
      <c r="A1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3E7C-FE41-4129-99C6-F85E5C112CA5}">
  <sheetPr>
    <tabColor rgb="FFFFC000"/>
  </sheetPr>
  <dimension ref="A1:N32"/>
  <sheetViews>
    <sheetView workbookViewId="0">
      <pane ySplit="3" topLeftCell="A13" activePane="bottomLeft" state="frozen"/>
      <selection activeCell="I6" sqref="I6"/>
      <selection pane="bottomLeft" activeCell="B32" sqref="B32"/>
    </sheetView>
  </sheetViews>
  <sheetFormatPr defaultColWidth="9.140625" defaultRowHeight="20.100000000000001" customHeight="1" x14ac:dyDescent="0.2"/>
  <cols>
    <col min="1" max="1" width="15.7109375" style="6" customWidth="1"/>
    <col min="2" max="2" width="26.140625" style="6" customWidth="1"/>
    <col min="3" max="3" width="14.85546875" style="6" customWidth="1"/>
    <col min="4" max="4" width="13.85546875" style="6" customWidth="1"/>
    <col min="5" max="5" width="43.85546875" style="6" customWidth="1"/>
    <col min="6" max="6" width="37.140625" style="6" customWidth="1"/>
    <col min="7" max="7" width="11.28515625" style="8" customWidth="1"/>
    <col min="8" max="8" width="14.85546875" style="6" customWidth="1"/>
    <col min="9" max="10" width="14.7109375" style="6" customWidth="1"/>
    <col min="11" max="11" width="32.7109375" style="6" customWidth="1"/>
    <col min="12" max="12" width="14.28515625" style="6" customWidth="1"/>
    <col min="13" max="15" width="9.140625" style="6"/>
    <col min="16" max="16" width="17" style="6" bestFit="1" customWidth="1"/>
    <col min="17" max="16384" width="9.140625" style="6"/>
  </cols>
  <sheetData>
    <row r="1" spans="1:14" ht="20.100000000000001" customHeight="1" x14ac:dyDescent="0.2">
      <c r="B1" s="7" t="s">
        <v>22</v>
      </c>
      <c r="C1" s="7"/>
      <c r="D1" s="7"/>
    </row>
    <row r="3" spans="1:14" ht="49.5" customHeight="1" x14ac:dyDescent="0.2">
      <c r="A3" s="9" t="s">
        <v>23</v>
      </c>
      <c r="B3" s="10" t="s">
        <v>25</v>
      </c>
      <c r="C3" s="10" t="s">
        <v>1</v>
      </c>
      <c r="D3" s="9" t="s">
        <v>24</v>
      </c>
      <c r="E3" s="10" t="s">
        <v>26</v>
      </c>
      <c r="F3" s="10" t="s">
        <v>39</v>
      </c>
      <c r="G3" s="10" t="s">
        <v>27</v>
      </c>
      <c r="H3" s="10" t="s">
        <v>28</v>
      </c>
      <c r="I3" s="10" t="s">
        <v>56</v>
      </c>
      <c r="J3" s="10" t="s">
        <v>57</v>
      </c>
      <c r="K3" s="10" t="s">
        <v>29</v>
      </c>
    </row>
    <row r="4" spans="1:14" ht="20.100000000000001" customHeight="1" x14ac:dyDescent="0.2">
      <c r="A4" s="31"/>
      <c r="B4" s="12" t="s">
        <v>30</v>
      </c>
      <c r="C4" s="12"/>
      <c r="D4" s="12" t="s">
        <v>11</v>
      </c>
      <c r="E4" s="12" t="s">
        <v>31</v>
      </c>
      <c r="F4" s="12" t="s">
        <v>43</v>
      </c>
      <c r="G4" s="13">
        <v>46173</v>
      </c>
      <c r="H4" s="13">
        <v>46171</v>
      </c>
      <c r="I4" s="14">
        <f t="shared" ref="I4:I11" si="0">5-MONTH(G4)</f>
        <v>0</v>
      </c>
      <c r="J4" s="14">
        <v>30</v>
      </c>
      <c r="K4" s="15"/>
    </row>
    <row r="5" spans="1:14" ht="20.100000000000001" customHeight="1" x14ac:dyDescent="0.2">
      <c r="A5" s="32"/>
      <c r="B5" s="12" t="s">
        <v>30</v>
      </c>
      <c r="C5" s="12"/>
      <c r="D5" s="12" t="s">
        <v>11</v>
      </c>
      <c r="E5" s="12" t="s">
        <v>32</v>
      </c>
      <c r="F5" s="12" t="s">
        <v>44</v>
      </c>
      <c r="G5" s="13">
        <v>46173</v>
      </c>
      <c r="H5" s="13">
        <v>46171</v>
      </c>
      <c r="I5" s="14">
        <f t="shared" si="0"/>
        <v>0</v>
      </c>
      <c r="J5" s="14"/>
      <c r="K5" s="15"/>
    </row>
    <row r="6" spans="1:14" ht="20.100000000000001" customHeight="1" x14ac:dyDescent="0.2">
      <c r="A6" s="32"/>
      <c r="B6" s="12" t="s">
        <v>30</v>
      </c>
      <c r="C6" s="12"/>
      <c r="D6" s="12" t="s">
        <v>11</v>
      </c>
      <c r="E6" s="12" t="s">
        <v>33</v>
      </c>
      <c r="F6" s="12" t="s">
        <v>40</v>
      </c>
      <c r="G6" s="13">
        <v>46173</v>
      </c>
      <c r="H6" s="13">
        <v>46175</v>
      </c>
      <c r="I6" s="14">
        <f t="shared" si="0"/>
        <v>0</v>
      </c>
      <c r="J6" s="14"/>
      <c r="K6" s="15"/>
    </row>
    <row r="7" spans="1:14" ht="20.100000000000001" customHeight="1" x14ac:dyDescent="0.2">
      <c r="A7" s="32"/>
      <c r="B7" s="12" t="s">
        <v>30</v>
      </c>
      <c r="C7" s="12"/>
      <c r="D7" s="12" t="s">
        <v>11</v>
      </c>
      <c r="E7" s="12" t="s">
        <v>34</v>
      </c>
      <c r="F7" s="12" t="s">
        <v>41</v>
      </c>
      <c r="G7" s="13">
        <v>46173</v>
      </c>
      <c r="H7" s="13">
        <v>46171</v>
      </c>
      <c r="I7" s="14">
        <f t="shared" si="0"/>
        <v>0</v>
      </c>
      <c r="J7" s="14"/>
      <c r="K7" s="15"/>
    </row>
    <row r="8" spans="1:14" ht="20.100000000000001" customHeight="1" x14ac:dyDescent="0.2">
      <c r="A8" s="32"/>
      <c r="B8" s="12" t="s">
        <v>30</v>
      </c>
      <c r="C8" s="12"/>
      <c r="D8" s="12" t="s">
        <v>11</v>
      </c>
      <c r="E8" s="12" t="s">
        <v>35</v>
      </c>
      <c r="F8" s="12" t="s">
        <v>42</v>
      </c>
      <c r="G8" s="13">
        <v>46173</v>
      </c>
      <c r="H8" s="13">
        <v>46171</v>
      </c>
      <c r="I8" s="14">
        <f t="shared" si="0"/>
        <v>0</v>
      </c>
      <c r="J8" s="14"/>
      <c r="K8" s="15"/>
    </row>
    <row r="9" spans="1:14" ht="20.100000000000001" customHeight="1" x14ac:dyDescent="0.2">
      <c r="A9" s="32"/>
      <c r="B9" s="12" t="s">
        <v>30</v>
      </c>
      <c r="C9" s="12"/>
      <c r="D9" s="12" t="s">
        <v>11</v>
      </c>
      <c r="E9" s="12" t="s">
        <v>36</v>
      </c>
      <c r="F9" s="12"/>
      <c r="G9" s="13">
        <v>46173</v>
      </c>
      <c r="H9" s="13">
        <v>46171</v>
      </c>
      <c r="I9" s="14">
        <f t="shared" si="0"/>
        <v>0</v>
      </c>
      <c r="J9" s="14"/>
      <c r="K9" s="15"/>
    </row>
    <row r="10" spans="1:14" ht="20.100000000000001" customHeight="1" x14ac:dyDescent="0.2">
      <c r="A10" s="32"/>
      <c r="B10" s="12" t="s">
        <v>30</v>
      </c>
      <c r="C10" s="12"/>
      <c r="D10" s="12" t="s">
        <v>11</v>
      </c>
      <c r="E10" s="12" t="s">
        <v>37</v>
      </c>
      <c r="F10" s="12"/>
      <c r="G10" s="13">
        <v>46142</v>
      </c>
      <c r="H10" s="13">
        <v>46171</v>
      </c>
      <c r="I10" s="14">
        <f t="shared" si="0"/>
        <v>1</v>
      </c>
      <c r="J10" s="14"/>
      <c r="K10" s="15"/>
    </row>
    <row r="11" spans="1:14" ht="20.100000000000001" customHeight="1" x14ac:dyDescent="0.2">
      <c r="A11" s="33"/>
      <c r="B11" s="12" t="s">
        <v>30</v>
      </c>
      <c r="C11" s="12"/>
      <c r="D11" s="12" t="s">
        <v>11</v>
      </c>
      <c r="E11" s="12" t="s">
        <v>38</v>
      </c>
      <c r="F11" s="12"/>
      <c r="G11" s="13">
        <v>46173</v>
      </c>
      <c r="H11" s="13">
        <v>46171</v>
      </c>
      <c r="I11" s="14">
        <f t="shared" si="0"/>
        <v>0</v>
      </c>
      <c r="J11" s="14"/>
      <c r="K11" s="17"/>
      <c r="L11" s="18"/>
    </row>
    <row r="12" spans="1:14" ht="20.100000000000001" customHeight="1" x14ac:dyDescent="0.2">
      <c r="A12" s="12"/>
      <c r="B12" s="12"/>
      <c r="C12" s="12"/>
      <c r="D12" s="12"/>
      <c r="E12" s="12"/>
      <c r="F12" s="12"/>
      <c r="G12" s="17"/>
      <c r="H12" s="13"/>
      <c r="I12" s="15"/>
      <c r="J12" s="15"/>
      <c r="K12" s="12"/>
    </row>
    <row r="13" spans="1:14" ht="20.100000000000001" customHeight="1" x14ac:dyDescent="0.2">
      <c r="A13" s="34"/>
      <c r="B13" s="12" t="s">
        <v>30</v>
      </c>
      <c r="C13" s="12"/>
      <c r="D13" s="12" t="s">
        <v>11</v>
      </c>
      <c r="E13" s="12" t="s">
        <v>58</v>
      </c>
      <c r="F13" s="12" t="s">
        <v>59</v>
      </c>
      <c r="G13" s="13">
        <v>46112</v>
      </c>
      <c r="H13" s="30">
        <v>46178</v>
      </c>
      <c r="I13" s="29">
        <f ca="1">TODAY()-G13</f>
        <v>66</v>
      </c>
      <c r="J13" s="22">
        <v>3</v>
      </c>
      <c r="K13" s="19"/>
      <c r="L13" s="21"/>
      <c r="M13" s="21"/>
      <c r="N13" s="21"/>
    </row>
    <row r="14" spans="1:14" ht="20.100000000000001" customHeight="1" x14ac:dyDescent="0.2">
      <c r="A14" s="35"/>
      <c r="B14" s="12" t="s">
        <v>30</v>
      </c>
      <c r="C14" s="12"/>
      <c r="D14" s="12" t="s">
        <v>11</v>
      </c>
      <c r="E14" s="12" t="s">
        <v>60</v>
      </c>
      <c r="F14" s="12" t="s">
        <v>59</v>
      </c>
      <c r="G14" s="13">
        <v>46112</v>
      </c>
      <c r="H14" s="30">
        <v>46178</v>
      </c>
      <c r="I14" s="29">
        <f t="shared" ref="I14:I26" ca="1" si="1">TODAY()-G14</f>
        <v>66</v>
      </c>
      <c r="J14" s="22">
        <v>3</v>
      </c>
      <c r="K14" s="19"/>
      <c r="L14" s="21"/>
      <c r="M14" s="21"/>
      <c r="N14" s="21"/>
    </row>
    <row r="15" spans="1:14" ht="20.100000000000001" customHeight="1" x14ac:dyDescent="0.2">
      <c r="A15" s="35"/>
      <c r="B15" s="12" t="s">
        <v>30</v>
      </c>
      <c r="C15" s="12"/>
      <c r="D15" s="12" t="s">
        <v>11</v>
      </c>
      <c r="E15" s="12" t="s">
        <v>61</v>
      </c>
      <c r="F15" s="12" t="s">
        <v>62</v>
      </c>
      <c r="G15" s="13">
        <v>46112</v>
      </c>
      <c r="H15" s="30">
        <v>46178</v>
      </c>
      <c r="I15" s="29">
        <f t="shared" ca="1" si="1"/>
        <v>66</v>
      </c>
      <c r="J15" s="22">
        <v>3</v>
      </c>
      <c r="K15" s="19"/>
      <c r="L15" s="21"/>
      <c r="M15" s="21"/>
      <c r="N15" s="21"/>
    </row>
    <row r="16" spans="1:14" ht="20.100000000000001" customHeight="1" x14ac:dyDescent="0.2">
      <c r="A16" s="35"/>
      <c r="B16" s="12" t="s">
        <v>30</v>
      </c>
      <c r="C16" s="12"/>
      <c r="D16" s="12" t="s">
        <v>11</v>
      </c>
      <c r="E16" s="12" t="s">
        <v>63</v>
      </c>
      <c r="F16" s="12" t="s">
        <v>64</v>
      </c>
      <c r="G16" s="13">
        <v>46023</v>
      </c>
      <c r="H16" s="30">
        <v>46178</v>
      </c>
      <c r="I16" s="29">
        <f t="shared" ca="1" si="1"/>
        <v>155</v>
      </c>
      <c r="J16" s="22">
        <v>3</v>
      </c>
      <c r="K16" s="19"/>
      <c r="L16" s="21"/>
      <c r="M16" s="21"/>
      <c r="N16" s="21"/>
    </row>
    <row r="17" spans="1:14" ht="20.100000000000001" customHeight="1" x14ac:dyDescent="0.2">
      <c r="A17" s="35"/>
      <c r="B17" s="12" t="s">
        <v>30</v>
      </c>
      <c r="C17" s="12"/>
      <c r="D17" s="12" t="s">
        <v>11</v>
      </c>
      <c r="E17" s="12" t="s">
        <v>65</v>
      </c>
      <c r="F17" s="12" t="s">
        <v>66</v>
      </c>
      <c r="G17" s="13">
        <v>46023</v>
      </c>
      <c r="H17" s="30">
        <v>46178</v>
      </c>
      <c r="I17" s="29">
        <f t="shared" ca="1" si="1"/>
        <v>155</v>
      </c>
      <c r="J17" s="22">
        <v>3</v>
      </c>
      <c r="K17" s="19"/>
      <c r="L17" s="21"/>
      <c r="M17" s="21"/>
      <c r="N17" s="21"/>
    </row>
    <row r="18" spans="1:14" ht="20.100000000000001" customHeight="1" x14ac:dyDescent="0.2">
      <c r="A18" s="35"/>
      <c r="B18" s="12" t="s">
        <v>30</v>
      </c>
      <c r="C18" s="12"/>
      <c r="D18" s="12" t="s">
        <v>11</v>
      </c>
      <c r="E18" s="12" t="s">
        <v>67</v>
      </c>
      <c r="F18" s="12" t="s">
        <v>66</v>
      </c>
      <c r="G18" s="13">
        <v>46023</v>
      </c>
      <c r="H18" s="30">
        <v>46178</v>
      </c>
      <c r="I18" s="29">
        <f t="shared" ca="1" si="1"/>
        <v>155</v>
      </c>
      <c r="J18" s="22">
        <v>30</v>
      </c>
      <c r="K18" s="19"/>
      <c r="L18" s="21"/>
      <c r="M18" s="21"/>
      <c r="N18" s="21"/>
    </row>
    <row r="19" spans="1:14" ht="20.100000000000001" customHeight="1" x14ac:dyDescent="0.2">
      <c r="A19" s="35"/>
      <c r="B19" s="12" t="s">
        <v>30</v>
      </c>
      <c r="C19" s="12"/>
      <c r="D19" s="12" t="s">
        <v>11</v>
      </c>
      <c r="E19" s="12" t="s">
        <v>68</v>
      </c>
      <c r="F19" s="12" t="s">
        <v>66</v>
      </c>
      <c r="G19" s="13">
        <v>46023</v>
      </c>
      <c r="H19" s="30">
        <v>46178</v>
      </c>
      <c r="I19" s="29">
        <f t="shared" ca="1" si="1"/>
        <v>155</v>
      </c>
      <c r="J19" s="22">
        <v>30</v>
      </c>
      <c r="K19" s="19"/>
      <c r="L19" s="21"/>
      <c r="M19" s="21"/>
      <c r="N19" s="21"/>
    </row>
    <row r="20" spans="1:14" ht="20.100000000000001" customHeight="1" x14ac:dyDescent="0.2">
      <c r="A20" s="35"/>
      <c r="B20" s="12" t="s">
        <v>30</v>
      </c>
      <c r="C20" s="12"/>
      <c r="D20" s="12" t="s">
        <v>11</v>
      </c>
      <c r="E20" s="12" t="s">
        <v>69</v>
      </c>
      <c r="F20" s="12" t="s">
        <v>66</v>
      </c>
      <c r="G20" s="13">
        <v>46023</v>
      </c>
      <c r="H20" s="30">
        <v>46178</v>
      </c>
      <c r="I20" s="29">
        <f t="shared" ca="1" si="1"/>
        <v>155</v>
      </c>
      <c r="J20" s="22">
        <v>30</v>
      </c>
      <c r="K20" s="19"/>
      <c r="L20" s="21"/>
      <c r="M20" s="21"/>
      <c r="N20" s="21"/>
    </row>
    <row r="21" spans="1:14" ht="20.100000000000001" customHeight="1" x14ac:dyDescent="0.2">
      <c r="A21" s="35"/>
      <c r="B21" s="12" t="s">
        <v>30</v>
      </c>
      <c r="C21" s="12"/>
      <c r="D21" s="12" t="s">
        <v>11</v>
      </c>
      <c r="E21" s="12" t="s">
        <v>70</v>
      </c>
      <c r="F21" s="12" t="s">
        <v>41</v>
      </c>
      <c r="G21" s="13">
        <v>46023</v>
      </c>
      <c r="H21" s="30">
        <v>46178</v>
      </c>
      <c r="I21" s="29">
        <f t="shared" ca="1" si="1"/>
        <v>155</v>
      </c>
      <c r="J21" s="22">
        <v>30</v>
      </c>
      <c r="K21" s="19"/>
      <c r="L21" s="21"/>
      <c r="M21" s="21"/>
      <c r="N21" s="21"/>
    </row>
    <row r="22" spans="1:14" ht="20.100000000000001" customHeight="1" x14ac:dyDescent="0.2">
      <c r="A22" s="35"/>
      <c r="B22" s="12" t="s">
        <v>30</v>
      </c>
      <c r="C22" s="12"/>
      <c r="D22" s="12" t="s">
        <v>11</v>
      </c>
      <c r="E22" s="12" t="s">
        <v>71</v>
      </c>
      <c r="F22" s="12" t="s">
        <v>44</v>
      </c>
      <c r="G22" s="13">
        <v>46023</v>
      </c>
      <c r="H22" s="30">
        <v>46178</v>
      </c>
      <c r="I22" s="29">
        <f t="shared" ca="1" si="1"/>
        <v>155</v>
      </c>
      <c r="J22" s="22">
        <v>3</v>
      </c>
      <c r="K22" s="19"/>
      <c r="L22" s="21"/>
      <c r="M22" s="21"/>
      <c r="N22" s="21"/>
    </row>
    <row r="23" spans="1:14" ht="20.100000000000001" customHeight="1" x14ac:dyDescent="0.2">
      <c r="A23" s="35"/>
      <c r="B23" s="12" t="s">
        <v>30</v>
      </c>
      <c r="C23" s="12"/>
      <c r="D23" s="12" t="s">
        <v>11</v>
      </c>
      <c r="E23" s="12" t="s">
        <v>72</v>
      </c>
      <c r="F23" s="12" t="s">
        <v>41</v>
      </c>
      <c r="G23" s="13">
        <v>46023</v>
      </c>
      <c r="H23" s="30">
        <v>46178</v>
      </c>
      <c r="I23" s="29">
        <f t="shared" ca="1" si="1"/>
        <v>155</v>
      </c>
      <c r="J23" s="22">
        <v>30</v>
      </c>
      <c r="K23" s="19"/>
      <c r="L23" s="21"/>
      <c r="M23" s="21"/>
      <c r="N23" s="21"/>
    </row>
    <row r="24" spans="1:14" ht="20.100000000000001" customHeight="1" x14ac:dyDescent="0.2">
      <c r="A24" s="35"/>
      <c r="B24" s="12" t="s">
        <v>30</v>
      </c>
      <c r="C24" s="12"/>
      <c r="D24" s="12" t="s">
        <v>11</v>
      </c>
      <c r="E24" s="12" t="s">
        <v>73</v>
      </c>
      <c r="F24" s="12" t="s">
        <v>44</v>
      </c>
      <c r="G24" s="13">
        <v>46023</v>
      </c>
      <c r="H24" s="30">
        <v>46178</v>
      </c>
      <c r="I24" s="29">
        <f t="shared" ca="1" si="1"/>
        <v>155</v>
      </c>
      <c r="J24" s="22">
        <v>3</v>
      </c>
      <c r="K24" s="19"/>
      <c r="L24" s="21"/>
      <c r="M24" s="21"/>
      <c r="N24" s="21"/>
    </row>
    <row r="25" spans="1:14" ht="20.100000000000001" customHeight="1" x14ac:dyDescent="0.2">
      <c r="A25" s="35"/>
      <c r="B25" s="12" t="s">
        <v>30</v>
      </c>
      <c r="C25" s="12"/>
      <c r="D25" s="12" t="s">
        <v>11</v>
      </c>
      <c r="E25" s="12" t="s">
        <v>74</v>
      </c>
      <c r="F25" s="12" t="s">
        <v>41</v>
      </c>
      <c r="G25" s="13">
        <v>46023</v>
      </c>
      <c r="H25" s="30">
        <v>46178</v>
      </c>
      <c r="I25" s="29">
        <f t="shared" ca="1" si="1"/>
        <v>155</v>
      </c>
      <c r="J25" s="22">
        <v>30</v>
      </c>
      <c r="K25" s="19"/>
      <c r="L25" s="21"/>
      <c r="M25" s="21"/>
      <c r="N25" s="21"/>
    </row>
    <row r="26" spans="1:14" ht="20.100000000000001" customHeight="1" x14ac:dyDescent="0.2">
      <c r="A26" s="36"/>
      <c r="B26" s="12" t="s">
        <v>30</v>
      </c>
      <c r="C26" s="12"/>
      <c r="D26" s="12" t="s">
        <v>11</v>
      </c>
      <c r="E26" s="12" t="s">
        <v>75</v>
      </c>
      <c r="F26" s="12" t="s">
        <v>44</v>
      </c>
      <c r="G26" s="13">
        <v>46023</v>
      </c>
      <c r="H26" s="30">
        <v>46178</v>
      </c>
      <c r="I26" s="29">
        <f t="shared" ca="1" si="1"/>
        <v>155</v>
      </c>
      <c r="J26" s="22">
        <v>3</v>
      </c>
      <c r="K26" s="19"/>
      <c r="L26" s="21"/>
      <c r="M26" s="21"/>
      <c r="N26" s="21"/>
    </row>
    <row r="27" spans="1:14" ht="20.100000000000001" customHeight="1" x14ac:dyDescent="0.2">
      <c r="A27" s="12"/>
      <c r="B27" s="12"/>
      <c r="C27" s="12"/>
      <c r="D27" s="12"/>
      <c r="E27" s="12"/>
      <c r="F27" s="12"/>
      <c r="G27" s="17"/>
      <c r="H27" s="13"/>
      <c r="I27" s="15"/>
      <c r="J27" s="15"/>
      <c r="K27" s="12"/>
    </row>
    <row r="28" spans="1:14" ht="20.100000000000001" customHeight="1" x14ac:dyDescent="0.2">
      <c r="A28" s="12"/>
      <c r="B28" s="12" t="s">
        <v>76</v>
      </c>
      <c r="C28" s="12"/>
      <c r="D28" s="12"/>
      <c r="E28" s="12"/>
      <c r="F28" s="12"/>
      <c r="G28" s="17"/>
      <c r="H28" s="13"/>
      <c r="I28" s="15"/>
      <c r="J28" s="15"/>
      <c r="K28" s="12"/>
    </row>
    <row r="29" spans="1:14" ht="20.100000000000001" customHeight="1" x14ac:dyDescent="0.2">
      <c r="A29" s="12"/>
      <c r="B29" s="12"/>
      <c r="C29" s="12"/>
      <c r="D29" s="12"/>
      <c r="E29" s="12"/>
      <c r="F29" s="12"/>
      <c r="G29" s="17"/>
      <c r="H29" s="13"/>
      <c r="I29" s="12"/>
      <c r="J29" s="12"/>
      <c r="K29" s="12"/>
    </row>
    <row r="30" spans="1:14" ht="20.100000000000001" customHeight="1" x14ac:dyDescent="0.2">
      <c r="A30" s="25"/>
      <c r="B30" s="26" t="s">
        <v>12</v>
      </c>
      <c r="C30" s="26"/>
      <c r="D30" s="26"/>
      <c r="E30" s="26" t="s">
        <v>12</v>
      </c>
      <c r="F30" s="26"/>
      <c r="G30" s="27" t="s">
        <v>12</v>
      </c>
      <c r="H30" s="26" t="s">
        <v>12</v>
      </c>
      <c r="I30" s="26" t="s">
        <v>12</v>
      </c>
      <c r="J30" s="26"/>
      <c r="K30" s="26" t="s">
        <v>12</v>
      </c>
    </row>
    <row r="32" spans="1:14" ht="20.100000000000001" customHeight="1" x14ac:dyDescent="0.2">
      <c r="B32" s="6" t="s">
        <v>112</v>
      </c>
    </row>
  </sheetData>
  <autoFilter ref="A3:N11" xr:uid="{40074552-486A-4B03-9873-0EEDAEFDE129}"/>
  <mergeCells count="2">
    <mergeCell ref="A4:A11"/>
    <mergeCell ref="A13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7E74-5B0A-4E68-B635-D1CD8680D138}">
  <sheetPr>
    <tabColor rgb="FFFFC000"/>
  </sheetPr>
  <dimension ref="A1:N32"/>
  <sheetViews>
    <sheetView workbookViewId="0">
      <pane ySplit="3" topLeftCell="A19" activePane="bottomLeft" state="frozen"/>
      <selection pane="bottomLeft" activeCell="C33" sqref="C33"/>
    </sheetView>
  </sheetViews>
  <sheetFormatPr defaultColWidth="9.140625" defaultRowHeight="20.100000000000001" customHeight="1" x14ac:dyDescent="0.2"/>
  <cols>
    <col min="1" max="1" width="9.140625" style="6"/>
    <col min="2" max="2" width="26.140625" style="6" customWidth="1"/>
    <col min="3" max="3" width="14.85546875" style="6" customWidth="1"/>
    <col min="4" max="4" width="16.85546875" style="6" customWidth="1"/>
    <col min="5" max="5" width="43.85546875" style="6" customWidth="1"/>
    <col min="6" max="6" width="31.42578125" style="6" customWidth="1"/>
    <col min="7" max="7" width="15.7109375" style="8" customWidth="1"/>
    <col min="8" max="8" width="14.85546875" style="6" customWidth="1"/>
    <col min="9" max="10" width="14.7109375" style="6" customWidth="1"/>
    <col min="11" max="11" width="32.7109375" style="6" customWidth="1"/>
    <col min="12" max="12" width="14.28515625" style="6" customWidth="1"/>
    <col min="13" max="15" width="9.140625" style="6"/>
    <col min="16" max="16" width="17" style="6" bestFit="1" customWidth="1"/>
    <col min="17" max="16384" width="9.140625" style="6"/>
  </cols>
  <sheetData>
    <row r="1" spans="1:14" ht="20.100000000000001" customHeight="1" x14ac:dyDescent="0.2">
      <c r="B1" s="7" t="s">
        <v>22</v>
      </c>
      <c r="C1" s="7"/>
      <c r="D1" s="7"/>
    </row>
    <row r="3" spans="1:14" ht="49.5" customHeight="1" x14ac:dyDescent="0.2">
      <c r="A3" s="9" t="s">
        <v>23</v>
      </c>
      <c r="B3" s="10" t="s">
        <v>25</v>
      </c>
      <c r="C3" s="10" t="s">
        <v>1</v>
      </c>
      <c r="D3" s="9" t="s">
        <v>24</v>
      </c>
      <c r="E3" s="10" t="s">
        <v>26</v>
      </c>
      <c r="F3" s="10" t="s">
        <v>39</v>
      </c>
      <c r="G3" s="10" t="s">
        <v>52</v>
      </c>
      <c r="H3" s="10" t="s">
        <v>28</v>
      </c>
      <c r="I3" s="10" t="s">
        <v>56</v>
      </c>
      <c r="J3" s="10" t="s">
        <v>57</v>
      </c>
      <c r="K3" s="10" t="s">
        <v>29</v>
      </c>
    </row>
    <row r="4" spans="1:14" ht="20.100000000000001" customHeight="1" x14ac:dyDescent="0.2">
      <c r="A4" s="11">
        <v>1</v>
      </c>
      <c r="B4" s="12" t="s">
        <v>30</v>
      </c>
      <c r="C4" s="12"/>
      <c r="D4" s="12" t="s">
        <v>11</v>
      </c>
      <c r="E4" s="12" t="s">
        <v>45</v>
      </c>
      <c r="F4" s="12" t="s">
        <v>53</v>
      </c>
      <c r="G4" s="28">
        <v>12525352</v>
      </c>
      <c r="H4" s="13">
        <v>46112</v>
      </c>
      <c r="I4" s="29">
        <f ca="1">TODAY()-H4</f>
        <v>66</v>
      </c>
      <c r="J4" s="29">
        <v>30</v>
      </c>
      <c r="K4" s="15"/>
    </row>
    <row r="5" spans="1:14" ht="20.100000000000001" customHeight="1" x14ac:dyDescent="0.2">
      <c r="A5" s="16">
        <f>IF(COUNTIF($B$4:B5,B5)&gt;1,A4,A4+1)</f>
        <v>1</v>
      </c>
      <c r="B5" s="12" t="s">
        <v>30</v>
      </c>
      <c r="C5" s="12"/>
      <c r="D5" s="12" t="s">
        <v>11</v>
      </c>
      <c r="E5" s="12" t="s">
        <v>46</v>
      </c>
      <c r="F5" s="12" t="s">
        <v>53</v>
      </c>
      <c r="G5" s="28">
        <v>0</v>
      </c>
      <c r="H5" s="13">
        <v>46112</v>
      </c>
      <c r="I5" s="29">
        <f t="shared" ref="I5:I10" ca="1" si="0">TODAY()-H5</f>
        <v>66</v>
      </c>
      <c r="J5" s="29">
        <v>30</v>
      </c>
      <c r="K5" s="15"/>
    </row>
    <row r="6" spans="1:14" ht="20.100000000000001" customHeight="1" x14ac:dyDescent="0.2">
      <c r="A6" s="16">
        <f>IF(COUNTIF($B$4:B6,B6)&gt;1,A5,A5+1)</f>
        <v>1</v>
      </c>
      <c r="B6" s="12" t="s">
        <v>30</v>
      </c>
      <c r="C6" s="12"/>
      <c r="D6" s="12" t="s">
        <v>11</v>
      </c>
      <c r="E6" s="12" t="s">
        <v>47</v>
      </c>
      <c r="F6" s="12" t="s">
        <v>53</v>
      </c>
      <c r="G6" s="28">
        <v>0</v>
      </c>
      <c r="H6" s="13">
        <v>46112</v>
      </c>
      <c r="I6" s="29">
        <f t="shared" ca="1" si="0"/>
        <v>66</v>
      </c>
      <c r="J6" s="29">
        <v>30</v>
      </c>
      <c r="K6" s="15"/>
    </row>
    <row r="7" spans="1:14" ht="20.100000000000001" customHeight="1" x14ac:dyDescent="0.2">
      <c r="A7" s="16">
        <f>IF(COUNTIF($B$4:B7,B7)&gt;1,A6,A6+1)</f>
        <v>1</v>
      </c>
      <c r="B7" s="12" t="s">
        <v>30</v>
      </c>
      <c r="C7" s="12"/>
      <c r="D7" s="12" t="s">
        <v>11</v>
      </c>
      <c r="E7" s="12" t="s">
        <v>48</v>
      </c>
      <c r="F7" s="12" t="s">
        <v>53</v>
      </c>
      <c r="G7" s="28">
        <v>0</v>
      </c>
      <c r="H7" s="13">
        <v>46112</v>
      </c>
      <c r="I7" s="29">
        <f t="shared" ca="1" si="0"/>
        <v>66</v>
      </c>
      <c r="J7" s="29">
        <v>30</v>
      </c>
      <c r="K7" s="15"/>
    </row>
    <row r="8" spans="1:14" ht="20.100000000000001" customHeight="1" x14ac:dyDescent="0.2">
      <c r="A8" s="16">
        <f>IF(COUNTIF($B$4:B8,B8)&gt;1,A7,A7+1)</f>
        <v>1</v>
      </c>
      <c r="B8" s="12" t="s">
        <v>30</v>
      </c>
      <c r="C8" s="12"/>
      <c r="D8" s="12" t="s">
        <v>11</v>
      </c>
      <c r="E8" s="12" t="s">
        <v>51</v>
      </c>
      <c r="F8" s="12" t="s">
        <v>54</v>
      </c>
      <c r="G8" s="28">
        <v>2524525</v>
      </c>
      <c r="H8" s="13">
        <v>46172</v>
      </c>
      <c r="I8" s="29">
        <f t="shared" ca="1" si="0"/>
        <v>6</v>
      </c>
      <c r="J8" s="29">
        <v>30</v>
      </c>
      <c r="K8" s="15"/>
    </row>
    <row r="9" spans="1:14" ht="20.100000000000001" customHeight="1" x14ac:dyDescent="0.2">
      <c r="A9" s="16">
        <f>IF(COUNTIF($B$4:B9,B9)&gt;1,A8,A8+1)</f>
        <v>1</v>
      </c>
      <c r="B9" s="12" t="s">
        <v>30</v>
      </c>
      <c r="C9" s="12"/>
      <c r="D9" s="12" t="s">
        <v>11</v>
      </c>
      <c r="E9" s="12" t="s">
        <v>50</v>
      </c>
      <c r="F9" s="12" t="s">
        <v>54</v>
      </c>
      <c r="G9" s="28">
        <v>0</v>
      </c>
      <c r="H9" s="13">
        <v>46172</v>
      </c>
      <c r="I9" s="29">
        <f t="shared" ca="1" si="0"/>
        <v>6</v>
      </c>
      <c r="J9" s="29">
        <v>30</v>
      </c>
      <c r="K9" s="15"/>
    </row>
    <row r="10" spans="1:14" ht="20.100000000000001" customHeight="1" x14ac:dyDescent="0.2">
      <c r="A10" s="16">
        <f>IF(COUNTIF($B$4:B10,B10)&gt;1,A9,A9+1)</f>
        <v>1</v>
      </c>
      <c r="B10" s="12" t="s">
        <v>30</v>
      </c>
      <c r="C10" s="12"/>
      <c r="D10" s="12" t="s">
        <v>11</v>
      </c>
      <c r="E10" s="12" t="s">
        <v>49</v>
      </c>
      <c r="F10" s="12" t="s">
        <v>55</v>
      </c>
      <c r="G10" s="28">
        <v>0</v>
      </c>
      <c r="H10" s="13">
        <v>46172</v>
      </c>
      <c r="I10" s="29">
        <f t="shared" ca="1" si="0"/>
        <v>6</v>
      </c>
      <c r="J10" s="29">
        <v>30</v>
      </c>
      <c r="K10" s="15"/>
    </row>
    <row r="11" spans="1:14" ht="20.100000000000001" customHeight="1" x14ac:dyDescent="0.2">
      <c r="A11" s="12"/>
      <c r="B11" s="12"/>
      <c r="C11" s="12"/>
      <c r="D11" s="12"/>
      <c r="E11" s="12"/>
      <c r="F11" s="12"/>
      <c r="G11" s="17"/>
      <c r="H11" s="13"/>
      <c r="I11" s="15"/>
      <c r="J11" s="15"/>
      <c r="K11" s="12"/>
    </row>
    <row r="12" spans="1:14" ht="20.100000000000001" customHeight="1" x14ac:dyDescent="0.2">
      <c r="A12" s="19"/>
      <c r="B12" s="19"/>
      <c r="C12" s="19"/>
      <c r="D12" s="19"/>
      <c r="E12" s="19"/>
      <c r="F12" s="19"/>
      <c r="G12" s="16"/>
      <c r="H12" s="20"/>
      <c r="I12" s="24"/>
      <c r="J12" s="24"/>
      <c r="K12" s="19"/>
      <c r="L12" s="21"/>
      <c r="M12" s="21"/>
      <c r="N12" s="21"/>
    </row>
    <row r="13" spans="1:14" ht="20.100000000000001" customHeight="1" x14ac:dyDescent="0.2">
      <c r="A13" s="19"/>
      <c r="B13" s="19"/>
      <c r="C13" s="19"/>
      <c r="D13" s="19"/>
      <c r="E13" s="19"/>
      <c r="F13" s="19"/>
      <c r="G13" s="16"/>
      <c r="H13" s="20"/>
      <c r="I13" s="24"/>
      <c r="J13" s="24"/>
      <c r="K13" s="19"/>
      <c r="L13" s="21"/>
      <c r="M13" s="21"/>
      <c r="N13" s="21"/>
    </row>
    <row r="14" spans="1:14" ht="20.100000000000001" customHeight="1" x14ac:dyDescent="0.2">
      <c r="A14" s="19"/>
      <c r="B14" s="19"/>
      <c r="C14" s="19"/>
      <c r="D14" s="19"/>
      <c r="E14" s="19"/>
      <c r="F14" s="19"/>
      <c r="G14" s="16"/>
      <c r="H14" s="20"/>
      <c r="I14" s="24"/>
      <c r="J14" s="24"/>
      <c r="K14" s="19"/>
      <c r="L14" s="21"/>
      <c r="M14" s="21"/>
      <c r="N14" s="21"/>
    </row>
    <row r="15" spans="1:14" ht="20.100000000000001" customHeight="1" x14ac:dyDescent="0.2">
      <c r="A15" s="19"/>
      <c r="B15" s="19"/>
      <c r="C15" s="19"/>
      <c r="D15" s="19"/>
      <c r="E15" s="19"/>
      <c r="F15" s="19"/>
      <c r="G15" s="16"/>
      <c r="H15" s="20"/>
      <c r="I15" s="24"/>
      <c r="J15" s="24"/>
      <c r="K15" s="19"/>
      <c r="L15" s="21"/>
      <c r="M15" s="21"/>
      <c r="N15" s="21"/>
    </row>
    <row r="16" spans="1:14" ht="20.100000000000001" customHeight="1" x14ac:dyDescent="0.2">
      <c r="A16" s="19"/>
      <c r="B16" s="19"/>
      <c r="C16" s="19"/>
      <c r="D16" s="19"/>
      <c r="E16" s="19"/>
      <c r="F16" s="19"/>
      <c r="G16" s="16"/>
      <c r="H16" s="20"/>
      <c r="I16" s="24"/>
      <c r="J16" s="24"/>
      <c r="K16" s="19"/>
      <c r="L16" s="21"/>
      <c r="M16" s="21"/>
      <c r="N16" s="21"/>
    </row>
    <row r="17" spans="1:14" ht="20.100000000000001" customHeight="1" x14ac:dyDescent="0.2">
      <c r="A17" s="19"/>
      <c r="B17" s="19"/>
      <c r="C17" s="19"/>
      <c r="D17" s="19"/>
      <c r="E17" s="19"/>
      <c r="F17" s="19"/>
      <c r="G17" s="16"/>
      <c r="H17" s="20"/>
      <c r="I17" s="24"/>
      <c r="J17" s="24"/>
      <c r="K17" s="19"/>
      <c r="L17" s="21"/>
      <c r="M17" s="21"/>
      <c r="N17" s="21"/>
    </row>
    <row r="18" spans="1:14" ht="20.100000000000001" customHeight="1" x14ac:dyDescent="0.2">
      <c r="A18" s="19"/>
      <c r="B18" s="19"/>
      <c r="C18" s="19"/>
      <c r="D18" s="19"/>
      <c r="E18" s="19"/>
      <c r="F18" s="19"/>
      <c r="G18" s="16"/>
      <c r="H18" s="20"/>
      <c r="I18" s="24"/>
      <c r="J18" s="24"/>
      <c r="K18" s="19"/>
      <c r="L18" s="21"/>
      <c r="M18" s="21"/>
      <c r="N18" s="21"/>
    </row>
    <row r="19" spans="1:14" ht="20.100000000000001" customHeight="1" x14ac:dyDescent="0.2">
      <c r="A19" s="19"/>
      <c r="B19" s="19"/>
      <c r="C19" s="19"/>
      <c r="D19" s="19"/>
      <c r="E19" s="19"/>
      <c r="F19" s="19"/>
      <c r="G19" s="16"/>
      <c r="H19" s="20"/>
      <c r="I19" s="24"/>
      <c r="J19" s="24"/>
      <c r="K19" s="19"/>
      <c r="L19" s="21"/>
      <c r="M19" s="21"/>
      <c r="N19" s="21"/>
    </row>
    <row r="20" spans="1:14" ht="20.100000000000001" customHeight="1" x14ac:dyDescent="0.2">
      <c r="A20" s="19"/>
      <c r="B20" s="19"/>
      <c r="C20" s="19"/>
      <c r="D20" s="19"/>
      <c r="E20" s="19"/>
      <c r="F20" s="19"/>
      <c r="G20" s="16"/>
      <c r="H20" s="20"/>
      <c r="I20" s="24"/>
      <c r="J20" s="24"/>
      <c r="K20" s="19"/>
      <c r="L20" s="21"/>
      <c r="M20" s="21"/>
      <c r="N20" s="21"/>
    </row>
    <row r="21" spans="1:14" ht="20.100000000000001" customHeight="1" x14ac:dyDescent="0.2">
      <c r="A21" s="19"/>
      <c r="B21" s="19"/>
      <c r="C21" s="19"/>
      <c r="D21" s="19"/>
      <c r="E21" s="19"/>
      <c r="F21" s="19"/>
      <c r="G21" s="16"/>
      <c r="H21" s="20"/>
      <c r="I21" s="24"/>
      <c r="J21" s="24"/>
      <c r="K21" s="19"/>
      <c r="L21" s="21"/>
      <c r="M21" s="21"/>
      <c r="N21" s="21"/>
    </row>
    <row r="22" spans="1:14" ht="20.100000000000001" customHeight="1" x14ac:dyDescent="0.2">
      <c r="A22" s="19"/>
      <c r="B22" s="19"/>
      <c r="C22" s="19"/>
      <c r="D22" s="19"/>
      <c r="E22" s="19"/>
      <c r="F22" s="19"/>
      <c r="G22" s="16"/>
      <c r="H22" s="20"/>
      <c r="I22" s="24"/>
      <c r="J22" s="24"/>
      <c r="K22" s="19"/>
      <c r="L22" s="21"/>
      <c r="M22" s="21"/>
      <c r="N22" s="21"/>
    </row>
    <row r="23" spans="1:14" ht="20.100000000000001" customHeight="1" x14ac:dyDescent="0.2">
      <c r="A23" s="19"/>
      <c r="B23" s="19"/>
      <c r="C23" s="19"/>
      <c r="D23" s="19"/>
      <c r="E23" s="19"/>
      <c r="F23" s="19"/>
      <c r="G23" s="16"/>
      <c r="H23" s="20"/>
      <c r="I23" s="24"/>
      <c r="J23" s="24"/>
      <c r="K23" s="19"/>
      <c r="L23" s="21"/>
      <c r="M23" s="21"/>
      <c r="N23" s="21"/>
    </row>
    <row r="24" spans="1:14" ht="20.100000000000001" customHeight="1" x14ac:dyDescent="0.2">
      <c r="A24" s="19"/>
      <c r="B24" s="19"/>
      <c r="C24" s="19"/>
      <c r="D24" s="19"/>
      <c r="E24" s="19"/>
      <c r="F24" s="19"/>
      <c r="G24" s="16"/>
      <c r="H24" s="20"/>
      <c r="I24" s="24"/>
      <c r="J24" s="24"/>
      <c r="K24" s="19"/>
      <c r="L24" s="21"/>
      <c r="M24" s="21"/>
      <c r="N24" s="21"/>
    </row>
    <row r="25" spans="1:14" ht="20.100000000000001" customHeight="1" x14ac:dyDescent="0.2">
      <c r="A25" s="19"/>
      <c r="B25" s="19"/>
      <c r="C25" s="19"/>
      <c r="D25" s="19"/>
      <c r="E25" s="19"/>
      <c r="F25" s="19"/>
      <c r="G25" s="16"/>
      <c r="H25" s="20"/>
      <c r="I25" s="24"/>
      <c r="J25" s="24"/>
      <c r="K25" s="19"/>
      <c r="L25" s="21"/>
      <c r="M25" s="21"/>
      <c r="N25" s="21"/>
    </row>
    <row r="26" spans="1:14" ht="20.100000000000001" customHeight="1" x14ac:dyDescent="0.2">
      <c r="A26" s="12"/>
      <c r="B26" s="12"/>
      <c r="C26" s="12"/>
      <c r="D26" s="12"/>
      <c r="E26" s="12"/>
      <c r="F26" s="12"/>
      <c r="G26" s="17"/>
      <c r="H26" s="13"/>
      <c r="I26" s="15"/>
      <c r="J26" s="15"/>
      <c r="K26" s="12"/>
    </row>
    <row r="27" spans="1:14" ht="20.100000000000001" customHeight="1" x14ac:dyDescent="0.2">
      <c r="A27" s="12"/>
      <c r="B27" s="12"/>
      <c r="C27" s="12"/>
      <c r="D27" s="12"/>
      <c r="E27" s="12"/>
      <c r="F27" s="12"/>
      <c r="G27" s="17"/>
      <c r="H27" s="13"/>
      <c r="I27" s="15"/>
      <c r="J27" s="15"/>
      <c r="K27" s="12"/>
    </row>
    <row r="28" spans="1:14" ht="20.100000000000001" customHeight="1" x14ac:dyDescent="0.2">
      <c r="A28" s="12"/>
      <c r="B28" s="12"/>
      <c r="C28" s="12"/>
      <c r="D28" s="12"/>
      <c r="E28" s="12"/>
      <c r="F28" s="12"/>
      <c r="G28" s="17"/>
      <c r="H28" s="13"/>
      <c r="I28" s="12"/>
      <c r="J28" s="12"/>
      <c r="K28" s="12"/>
    </row>
    <row r="29" spans="1:14" ht="20.100000000000001" customHeight="1" x14ac:dyDescent="0.2">
      <c r="A29" s="25"/>
      <c r="B29" s="26" t="s">
        <v>12</v>
      </c>
      <c r="C29" s="26"/>
      <c r="D29" s="26"/>
      <c r="E29" s="26" t="s">
        <v>12</v>
      </c>
      <c r="F29" s="26"/>
      <c r="G29" s="27" t="s">
        <v>12</v>
      </c>
      <c r="H29" s="26" t="s">
        <v>12</v>
      </c>
      <c r="I29" s="26" t="s">
        <v>12</v>
      </c>
      <c r="J29" s="26"/>
      <c r="K29" s="26" t="s">
        <v>12</v>
      </c>
    </row>
    <row r="32" spans="1:14" ht="20.100000000000001" customHeight="1" x14ac:dyDescent="0.2">
      <c r="B32" s="6" t="s">
        <v>112</v>
      </c>
    </row>
  </sheetData>
  <autoFilter ref="A3:N10" xr:uid="{40074552-486A-4B03-9873-0EEDAEFDE12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BB19-8462-4C0F-B549-B3B7821F5321}">
  <sheetPr>
    <tabColor rgb="FF00FFFF"/>
  </sheetPr>
  <dimension ref="A1:O12"/>
  <sheetViews>
    <sheetView workbookViewId="0">
      <pane ySplit="1" topLeftCell="A2" activePane="bottomLeft" state="frozen"/>
      <selection activeCell="I6" sqref="I6"/>
      <selection pane="bottomLeft" activeCell="F4" sqref="F4"/>
    </sheetView>
  </sheetViews>
  <sheetFormatPr defaultColWidth="9.140625" defaultRowHeight="12.75" x14ac:dyDescent="0.2"/>
  <cols>
    <col min="1" max="1" width="9.140625" style="6"/>
    <col min="2" max="2" width="21.28515625" style="6" customWidth="1"/>
    <col min="3" max="3" width="16.140625" style="6" customWidth="1"/>
    <col min="4" max="4" width="13.5703125" style="6" customWidth="1"/>
    <col min="5" max="5" width="21.7109375" style="6" customWidth="1"/>
    <col min="6" max="6" width="25.85546875" style="6" customWidth="1"/>
    <col min="7" max="7" width="24.28515625" style="6" customWidth="1"/>
    <col min="8" max="8" width="22" style="6" customWidth="1"/>
    <col min="9" max="9" width="13.5703125" style="48" customWidth="1"/>
    <col min="10" max="10" width="12.7109375" style="48" customWidth="1"/>
    <col min="11" max="12" width="13.5703125" style="18" customWidth="1"/>
    <col min="13" max="13" width="17.42578125" style="6" customWidth="1"/>
    <col min="14" max="16384" width="9.140625" style="6"/>
  </cols>
  <sheetData>
    <row r="1" spans="1:15" s="23" customFormat="1" ht="42.75" customHeight="1" x14ac:dyDescent="0.2">
      <c r="A1" s="10" t="s">
        <v>23</v>
      </c>
      <c r="B1" s="10" t="s">
        <v>80</v>
      </c>
      <c r="C1" s="10" t="s">
        <v>1</v>
      </c>
      <c r="D1" s="10" t="s">
        <v>24</v>
      </c>
      <c r="E1" s="10" t="s">
        <v>103</v>
      </c>
      <c r="F1" s="10" t="s">
        <v>104</v>
      </c>
      <c r="G1" s="10" t="s">
        <v>105</v>
      </c>
      <c r="H1" s="10" t="s">
        <v>106</v>
      </c>
      <c r="I1" s="43" t="s">
        <v>107</v>
      </c>
      <c r="J1" s="43" t="s">
        <v>108</v>
      </c>
      <c r="K1" s="44" t="s">
        <v>109</v>
      </c>
      <c r="L1" s="44" t="s">
        <v>111</v>
      </c>
      <c r="M1" s="10" t="s">
        <v>29</v>
      </c>
    </row>
    <row r="2" spans="1:15" ht="19.5" customHeight="1" x14ac:dyDescent="0.2">
      <c r="A2" s="17">
        <v>1</v>
      </c>
      <c r="B2" s="12" t="s">
        <v>87</v>
      </c>
      <c r="C2" s="12"/>
      <c r="D2" s="12"/>
      <c r="E2" s="12" t="s">
        <v>110</v>
      </c>
      <c r="F2" s="12"/>
      <c r="G2" s="12"/>
      <c r="H2" s="12"/>
      <c r="I2" s="13">
        <v>46143</v>
      </c>
      <c r="J2" s="13">
        <v>46167</v>
      </c>
      <c r="K2" s="12">
        <f ca="1">TODAY()-J2</f>
        <v>11</v>
      </c>
      <c r="L2" s="12"/>
      <c r="M2" s="12"/>
      <c r="N2" s="23"/>
      <c r="O2" s="23"/>
    </row>
    <row r="3" spans="1:15" ht="19.5" customHeight="1" x14ac:dyDescent="0.2">
      <c r="A3" s="17"/>
      <c r="B3" s="12" t="s">
        <v>87</v>
      </c>
      <c r="C3" s="12"/>
      <c r="D3" s="12"/>
      <c r="E3" s="12" t="s">
        <v>110</v>
      </c>
      <c r="F3" s="12"/>
      <c r="G3" s="12"/>
      <c r="H3" s="12"/>
      <c r="I3" s="13"/>
      <c r="J3" s="13"/>
      <c r="K3" s="45"/>
      <c r="L3" s="45"/>
      <c r="M3" s="12"/>
      <c r="N3" s="23"/>
      <c r="O3" s="23"/>
    </row>
    <row r="4" spans="1:15" ht="19.5" customHeight="1" x14ac:dyDescent="0.2">
      <c r="A4" s="17"/>
      <c r="B4" s="12" t="s">
        <v>87</v>
      </c>
      <c r="C4" s="12"/>
      <c r="D4" s="12"/>
      <c r="E4" s="12" t="s">
        <v>110</v>
      </c>
      <c r="F4" s="12"/>
      <c r="G4" s="12"/>
      <c r="H4" s="12"/>
      <c r="I4" s="13"/>
      <c r="J4" s="13"/>
      <c r="K4" s="45"/>
      <c r="L4" s="45"/>
      <c r="M4" s="12"/>
      <c r="N4" s="23"/>
      <c r="O4" s="23"/>
    </row>
    <row r="5" spans="1:15" ht="19.5" customHeight="1" x14ac:dyDescent="0.2">
      <c r="A5" s="17"/>
      <c r="B5" s="12" t="s">
        <v>87</v>
      </c>
      <c r="C5" s="12"/>
      <c r="D5" s="12"/>
      <c r="E5" s="12" t="s">
        <v>80</v>
      </c>
      <c r="F5" s="12"/>
      <c r="G5" s="12"/>
      <c r="H5" s="12"/>
      <c r="I5" s="13"/>
      <c r="J5" s="13"/>
      <c r="K5" s="45"/>
      <c r="L5" s="45"/>
      <c r="M5" s="12"/>
      <c r="N5" s="23"/>
      <c r="O5" s="23"/>
    </row>
    <row r="6" spans="1:15" ht="19.5" customHeight="1" x14ac:dyDescent="0.2">
      <c r="A6" s="12"/>
      <c r="B6" s="12"/>
      <c r="C6" s="12"/>
      <c r="D6" s="12"/>
      <c r="E6" s="12"/>
      <c r="F6" s="12"/>
      <c r="G6" s="12"/>
      <c r="H6" s="12"/>
      <c r="I6" s="13"/>
      <c r="J6" s="13"/>
      <c r="K6" s="45"/>
      <c r="L6" s="45"/>
      <c r="M6" s="12"/>
      <c r="N6" s="23"/>
      <c r="O6" s="23"/>
    </row>
    <row r="7" spans="1:15" ht="19.5" customHeight="1" x14ac:dyDescent="0.2">
      <c r="A7" s="12"/>
      <c r="B7" s="12"/>
      <c r="C7" s="12"/>
      <c r="D7" s="12"/>
      <c r="E7" s="12"/>
      <c r="F7" s="12"/>
      <c r="G7" s="12"/>
      <c r="H7" s="12"/>
      <c r="I7" s="13"/>
      <c r="J7" s="13"/>
      <c r="K7" s="45"/>
      <c r="L7" s="45"/>
      <c r="M7" s="12"/>
      <c r="N7" s="23"/>
      <c r="O7" s="23"/>
    </row>
    <row r="8" spans="1:15" ht="19.5" customHeight="1" x14ac:dyDescent="0.2">
      <c r="A8" s="12"/>
      <c r="B8" s="12"/>
      <c r="C8" s="12"/>
      <c r="D8" s="12"/>
      <c r="E8" s="12"/>
      <c r="F8" s="12"/>
      <c r="G8" s="12"/>
      <c r="H8" s="12"/>
      <c r="I8" s="13"/>
      <c r="J8" s="13"/>
      <c r="K8" s="45"/>
      <c r="L8" s="45"/>
      <c r="M8" s="12"/>
      <c r="N8" s="23"/>
      <c r="O8" s="23"/>
    </row>
    <row r="9" spans="1:15" ht="19.5" customHeight="1" x14ac:dyDescent="0.2">
      <c r="A9" s="12"/>
      <c r="B9" s="12"/>
      <c r="C9" s="12"/>
      <c r="D9" s="12"/>
      <c r="E9" s="12"/>
      <c r="F9" s="12"/>
      <c r="G9" s="12"/>
      <c r="H9" s="12"/>
      <c r="I9" s="13"/>
      <c r="J9" s="13"/>
      <c r="K9" s="45"/>
      <c r="L9" s="45"/>
      <c r="M9" s="12"/>
      <c r="N9" s="23"/>
      <c r="O9" s="23"/>
    </row>
    <row r="10" spans="1:15" ht="19.5" customHeight="1" x14ac:dyDescent="0.2">
      <c r="A10" s="12"/>
      <c r="B10" s="12"/>
      <c r="C10" s="12"/>
      <c r="D10" s="12"/>
      <c r="E10" s="12"/>
      <c r="F10" s="12"/>
      <c r="G10" s="12"/>
      <c r="H10" s="12"/>
      <c r="I10" s="13"/>
      <c r="J10" s="13"/>
      <c r="K10" s="45"/>
      <c r="L10" s="45"/>
      <c r="M10" s="12"/>
      <c r="N10" s="23"/>
      <c r="O10" s="23"/>
    </row>
    <row r="11" spans="1:15" ht="19.5" customHeight="1" x14ac:dyDescent="0.2">
      <c r="A11" s="46" t="s">
        <v>12</v>
      </c>
      <c r="B11" s="46"/>
      <c r="C11" s="46"/>
      <c r="D11" s="46"/>
      <c r="E11" s="46"/>
      <c r="F11" s="46" t="s">
        <v>12</v>
      </c>
      <c r="G11" s="46" t="s">
        <v>12</v>
      </c>
      <c r="H11" s="46" t="s">
        <v>12</v>
      </c>
      <c r="I11" s="47" t="s">
        <v>12</v>
      </c>
      <c r="J11" s="47" t="s">
        <v>12</v>
      </c>
      <c r="K11" s="46"/>
      <c r="L11" s="46"/>
      <c r="M11" s="46" t="s">
        <v>12</v>
      </c>
      <c r="N11" s="23"/>
      <c r="O11" s="23"/>
    </row>
    <row r="12" spans="1:15" x14ac:dyDescent="0.2">
      <c r="N12" s="23"/>
      <c r="O12" s="23"/>
    </row>
  </sheetData>
  <autoFilter ref="F1:N1" xr:uid="{5D2FB232-73D5-4A85-99F1-D6EAFF234A7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9FEC-B12C-41C4-8217-BBF88501A2C4}">
  <sheetPr>
    <tabColor rgb="FF00FFFF"/>
  </sheetPr>
  <dimension ref="A2:R58"/>
  <sheetViews>
    <sheetView workbookViewId="0">
      <pane ySplit="5" topLeftCell="A6" activePane="bottomLeft" state="frozen"/>
      <selection activeCell="I6" sqref="I6"/>
      <selection pane="bottomLeft" activeCell="A11" sqref="A11"/>
    </sheetView>
  </sheetViews>
  <sheetFormatPr defaultColWidth="9.140625" defaultRowHeight="20.100000000000001" customHeight="1" x14ac:dyDescent="0.2"/>
  <cols>
    <col min="1" max="1" width="18.140625" style="6" customWidth="1"/>
    <col min="2" max="2" width="59.5703125" style="6" customWidth="1"/>
    <col min="3" max="3" width="44.140625" style="6" customWidth="1"/>
    <col min="4" max="16" width="7" style="8" customWidth="1"/>
    <col min="17" max="17" width="53.42578125" style="6" customWidth="1"/>
    <col min="18" max="18" width="41.5703125" style="6" customWidth="1"/>
    <col min="19" max="16384" width="9.140625" style="6"/>
  </cols>
  <sheetData>
    <row r="2" spans="1:18" ht="20.100000000000001" customHeight="1" x14ac:dyDescent="0.2">
      <c r="A2" s="37" t="s">
        <v>77</v>
      </c>
      <c r="Q2" s="6" t="s">
        <v>78</v>
      </c>
      <c r="R2" s="6" t="s">
        <v>79</v>
      </c>
    </row>
    <row r="4" spans="1:18" ht="20.100000000000001" customHeight="1" x14ac:dyDescent="0.2">
      <c r="A4" s="38" t="s">
        <v>80</v>
      </c>
      <c r="B4" s="38" t="s">
        <v>81</v>
      </c>
      <c r="C4" s="38" t="s">
        <v>82</v>
      </c>
      <c r="D4" s="39" t="s">
        <v>83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 t="s">
        <v>84</v>
      </c>
    </row>
    <row r="5" spans="1:18" ht="20.100000000000001" customHeight="1" x14ac:dyDescent="0.2">
      <c r="A5" s="12"/>
      <c r="B5" s="41" t="s">
        <v>85</v>
      </c>
      <c r="C5" s="41"/>
      <c r="D5" s="41">
        <v>1</v>
      </c>
      <c r="E5" s="41">
        <v>2</v>
      </c>
      <c r="F5" s="41">
        <v>3</v>
      </c>
      <c r="G5" s="41">
        <v>4</v>
      </c>
      <c r="H5" s="41">
        <v>5</v>
      </c>
      <c r="I5" s="41">
        <v>6</v>
      </c>
      <c r="J5" s="41">
        <v>7</v>
      </c>
      <c r="K5" s="41">
        <v>8</v>
      </c>
      <c r="L5" s="41">
        <v>9</v>
      </c>
      <c r="M5" s="41">
        <v>10</v>
      </c>
      <c r="N5" s="41">
        <v>11</v>
      </c>
      <c r="O5" s="41">
        <v>12</v>
      </c>
      <c r="P5" s="41" t="s">
        <v>86</v>
      </c>
      <c r="Q5" s="41" t="s">
        <v>29</v>
      </c>
      <c r="R5" s="12"/>
    </row>
    <row r="6" spans="1:18" ht="20.100000000000001" customHeight="1" x14ac:dyDescent="0.2">
      <c r="A6" s="12" t="s">
        <v>87</v>
      </c>
      <c r="B6" s="12" t="s">
        <v>88</v>
      </c>
      <c r="C6" s="12"/>
      <c r="D6" s="17" t="s">
        <v>12</v>
      </c>
      <c r="E6" s="17" t="s">
        <v>12</v>
      </c>
      <c r="F6" s="17" t="s">
        <v>12</v>
      </c>
      <c r="G6" s="17" t="s">
        <v>12</v>
      </c>
      <c r="H6" s="17" t="s">
        <v>12</v>
      </c>
      <c r="I6" s="17"/>
      <c r="J6" s="17"/>
      <c r="K6" s="17"/>
      <c r="L6" s="17"/>
      <c r="M6" s="17"/>
      <c r="N6" s="17"/>
      <c r="O6" s="17"/>
      <c r="P6" s="17"/>
      <c r="Q6" s="12"/>
      <c r="R6" s="12" t="s">
        <v>89</v>
      </c>
    </row>
    <row r="7" spans="1:18" ht="20.100000000000001" customHeight="1" x14ac:dyDescent="0.2">
      <c r="A7" s="12" t="s">
        <v>87</v>
      </c>
      <c r="B7" s="12" t="s">
        <v>92</v>
      </c>
      <c r="C7" s="12" t="s">
        <v>93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2" t="s">
        <v>97</v>
      </c>
      <c r="R7" s="12" t="s">
        <v>98</v>
      </c>
    </row>
    <row r="8" spans="1:18" ht="20.100000000000001" customHeight="1" x14ac:dyDescent="0.2">
      <c r="A8" s="12" t="s">
        <v>87</v>
      </c>
      <c r="B8" s="12" t="s">
        <v>94</v>
      </c>
      <c r="C8" s="12" t="s">
        <v>95</v>
      </c>
      <c r="D8" s="17" t="s">
        <v>96</v>
      </c>
      <c r="E8" s="17" t="s">
        <v>96</v>
      </c>
      <c r="F8" s="17" t="s">
        <v>12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2"/>
      <c r="R8" s="12"/>
    </row>
    <row r="9" spans="1:18" ht="20.100000000000001" customHeight="1" x14ac:dyDescent="0.2">
      <c r="A9" s="12" t="s">
        <v>99</v>
      </c>
      <c r="B9" s="12" t="s">
        <v>88</v>
      </c>
      <c r="C9" s="12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2"/>
      <c r="R9" s="12"/>
    </row>
    <row r="10" spans="1:18" ht="20.100000000000001" customHeight="1" x14ac:dyDescent="0.2">
      <c r="A10" s="12" t="s">
        <v>99</v>
      </c>
      <c r="B10" s="12" t="s">
        <v>90</v>
      </c>
      <c r="C10" s="12" t="s">
        <v>91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2"/>
      <c r="R10" s="12"/>
    </row>
    <row r="11" spans="1:18" ht="20.100000000000001" customHeight="1" x14ac:dyDescent="0.2">
      <c r="A11" s="12" t="s">
        <v>99</v>
      </c>
      <c r="B11" s="12" t="s">
        <v>100</v>
      </c>
      <c r="C11" s="12" t="s">
        <v>101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2"/>
      <c r="R11" s="12"/>
    </row>
    <row r="12" spans="1:18" ht="20.100000000000001" customHeight="1" x14ac:dyDescent="0.2">
      <c r="A12" s="12" t="s">
        <v>99</v>
      </c>
      <c r="B12" s="12" t="s">
        <v>94</v>
      </c>
      <c r="C12" s="12" t="s">
        <v>102</v>
      </c>
      <c r="D12" s="17" t="s">
        <v>12</v>
      </c>
      <c r="E12" s="17" t="s">
        <v>12</v>
      </c>
      <c r="F12" s="17" t="s">
        <v>12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2"/>
      <c r="R12" s="12"/>
    </row>
    <row r="13" spans="1:18" ht="20.100000000000001" customHeight="1" x14ac:dyDescent="0.2">
      <c r="A13" s="12"/>
      <c r="B13" s="12"/>
      <c r="C13" s="12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2"/>
      <c r="R13" s="12"/>
    </row>
    <row r="14" spans="1:18" ht="20.100000000000001" customHeight="1" x14ac:dyDescent="0.2">
      <c r="A14" s="12"/>
      <c r="B14" s="12"/>
      <c r="C14" s="12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2"/>
      <c r="R14" s="12"/>
    </row>
    <row r="15" spans="1:18" ht="20.100000000000001" customHeight="1" x14ac:dyDescent="0.2">
      <c r="A15" s="12"/>
      <c r="B15" s="12"/>
      <c r="C15" s="12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2"/>
      <c r="R15" s="12"/>
    </row>
    <row r="16" spans="1:18" ht="20.100000000000001" customHeight="1" x14ac:dyDescent="0.2">
      <c r="A16" s="12"/>
      <c r="B16" s="12"/>
      <c r="C16" s="12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2"/>
      <c r="R16" s="12"/>
    </row>
    <row r="17" spans="1:18" ht="20.100000000000001" customHeight="1" x14ac:dyDescent="0.2">
      <c r="A17" s="12"/>
      <c r="B17" s="12"/>
      <c r="C17" s="1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2"/>
      <c r="R17" s="12"/>
    </row>
    <row r="18" spans="1:18" ht="20.100000000000001" customHeight="1" x14ac:dyDescent="0.2">
      <c r="A18" s="12"/>
      <c r="B18" s="12"/>
      <c r="C18" s="12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2"/>
      <c r="R18" s="12"/>
    </row>
    <row r="19" spans="1:18" ht="20.100000000000001" customHeight="1" x14ac:dyDescent="0.2">
      <c r="A19" s="12"/>
      <c r="B19" s="12"/>
      <c r="C19" s="12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2"/>
      <c r="R19" s="12"/>
    </row>
    <row r="20" spans="1:18" ht="20.100000000000001" customHeight="1" x14ac:dyDescent="0.2">
      <c r="A20" s="12"/>
      <c r="B20" s="12"/>
      <c r="C20" s="12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2"/>
      <c r="R20" s="12"/>
    </row>
    <row r="21" spans="1:18" ht="20.100000000000001" customHeight="1" x14ac:dyDescent="0.2">
      <c r="A21" s="12"/>
      <c r="B21" s="12"/>
      <c r="C21" s="12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2"/>
      <c r="R21" s="12"/>
    </row>
    <row r="22" spans="1:18" ht="20.100000000000001" customHeight="1" x14ac:dyDescent="0.2">
      <c r="A22" s="12"/>
      <c r="B22" s="12"/>
      <c r="C22" s="12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2"/>
      <c r="R22" s="12"/>
    </row>
    <row r="23" spans="1:18" ht="20.100000000000001" customHeight="1" x14ac:dyDescent="0.2">
      <c r="A23" s="12"/>
      <c r="B23" s="12"/>
      <c r="C23" s="12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2"/>
      <c r="R23" s="12"/>
    </row>
    <row r="24" spans="1:18" ht="20.100000000000001" customHeight="1" x14ac:dyDescent="0.2">
      <c r="A24" s="12"/>
      <c r="B24" s="12"/>
      <c r="C24" s="12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2"/>
      <c r="R24" s="12"/>
    </row>
    <row r="25" spans="1:18" ht="20.100000000000001" customHeight="1" x14ac:dyDescent="0.2">
      <c r="A25" s="12"/>
      <c r="B25" s="12"/>
      <c r="C25" s="12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2"/>
      <c r="R25" s="12"/>
    </row>
    <row r="26" spans="1:18" ht="20.100000000000001" customHeight="1" x14ac:dyDescent="0.2">
      <c r="A26" s="12"/>
      <c r="B26" s="12"/>
      <c r="C26" s="12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2"/>
      <c r="R26" s="12"/>
    </row>
    <row r="27" spans="1:18" ht="20.100000000000001" customHeight="1" x14ac:dyDescent="0.2">
      <c r="A27" s="12"/>
      <c r="B27" s="12"/>
      <c r="C27" s="12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2"/>
      <c r="R27" s="12"/>
    </row>
    <row r="28" spans="1:18" ht="20.100000000000001" customHeight="1" x14ac:dyDescent="0.2">
      <c r="A28" s="12"/>
      <c r="B28" s="12"/>
      <c r="C28" s="12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2"/>
      <c r="R28" s="12"/>
    </row>
    <row r="29" spans="1:18" ht="20.100000000000001" customHeight="1" x14ac:dyDescent="0.2">
      <c r="A29" s="12"/>
      <c r="B29" s="12"/>
      <c r="C29" s="12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2"/>
      <c r="R29" s="12"/>
    </row>
    <row r="30" spans="1:18" ht="20.100000000000001" customHeight="1" x14ac:dyDescent="0.2">
      <c r="A30" s="12"/>
      <c r="B30" s="12"/>
      <c r="C30" s="12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2"/>
      <c r="R30" s="12"/>
    </row>
    <row r="31" spans="1:18" ht="20.100000000000001" customHeight="1" x14ac:dyDescent="0.2">
      <c r="A31" s="12"/>
      <c r="B31" s="12"/>
      <c r="C31" s="12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2"/>
      <c r="R31" s="12"/>
    </row>
    <row r="32" spans="1:18" ht="20.100000000000001" customHeight="1" x14ac:dyDescent="0.2">
      <c r="A32" s="12"/>
      <c r="B32" s="12"/>
      <c r="C32" s="12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2"/>
      <c r="R32" s="12"/>
    </row>
    <row r="33" spans="1:18" ht="20.100000000000001" customHeight="1" x14ac:dyDescent="0.2">
      <c r="A33" s="12"/>
      <c r="B33" s="12"/>
      <c r="C33" s="12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2"/>
      <c r="R33" s="12"/>
    </row>
    <row r="34" spans="1:18" ht="20.100000000000001" customHeight="1" x14ac:dyDescent="0.2">
      <c r="A34" s="12"/>
      <c r="B34" s="12"/>
      <c r="C34" s="12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2"/>
      <c r="R34" s="12"/>
    </row>
    <row r="35" spans="1:18" ht="20.100000000000001" customHeight="1" x14ac:dyDescent="0.2">
      <c r="A35" s="12"/>
      <c r="B35" s="12"/>
      <c r="C35" s="12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2"/>
      <c r="R35" s="12"/>
    </row>
    <row r="36" spans="1:18" ht="20.100000000000001" customHeight="1" x14ac:dyDescent="0.2">
      <c r="A36" s="12"/>
      <c r="B36" s="12"/>
      <c r="C36" s="12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2"/>
      <c r="R36" s="12"/>
    </row>
    <row r="37" spans="1:18" ht="20.100000000000001" customHeight="1" x14ac:dyDescent="0.2">
      <c r="A37" s="12"/>
      <c r="B37" s="12"/>
      <c r="C37" s="12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2"/>
      <c r="R37" s="12"/>
    </row>
    <row r="38" spans="1:18" ht="20.100000000000001" customHeight="1" x14ac:dyDescent="0.2">
      <c r="A38" s="12"/>
      <c r="B38" s="12"/>
      <c r="C38" s="12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2"/>
      <c r="R38" s="12"/>
    </row>
    <row r="39" spans="1:18" ht="20.100000000000001" customHeight="1" x14ac:dyDescent="0.2">
      <c r="A39" s="12"/>
      <c r="B39" s="12"/>
      <c r="C39" s="12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2"/>
      <c r="R39" s="12"/>
    </row>
    <row r="40" spans="1:18" ht="20.100000000000001" customHeight="1" x14ac:dyDescent="0.2">
      <c r="A40" s="12"/>
      <c r="B40" s="12"/>
      <c r="C40" s="12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2"/>
      <c r="R40" s="12"/>
    </row>
    <row r="41" spans="1:18" ht="20.100000000000001" customHeight="1" x14ac:dyDescent="0.2">
      <c r="A41" s="12"/>
      <c r="B41" s="12"/>
      <c r="C41" s="12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2"/>
      <c r="R41" s="12"/>
    </row>
    <row r="42" spans="1:18" ht="20.100000000000001" customHeight="1" x14ac:dyDescent="0.2">
      <c r="A42" s="12"/>
      <c r="B42" s="12"/>
      <c r="C42" s="12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2"/>
      <c r="R42" s="12"/>
    </row>
    <row r="43" spans="1:18" ht="20.100000000000001" customHeight="1" x14ac:dyDescent="0.2">
      <c r="A43" s="12"/>
      <c r="B43" s="12"/>
      <c r="C43" s="12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2"/>
      <c r="R43" s="12"/>
    </row>
    <row r="44" spans="1:18" ht="20.100000000000001" customHeight="1" x14ac:dyDescent="0.2">
      <c r="A44" s="12"/>
      <c r="B44" s="12"/>
      <c r="C44" s="1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2"/>
      <c r="R44" s="12"/>
    </row>
    <row r="45" spans="1:18" ht="20.100000000000001" customHeight="1" x14ac:dyDescent="0.2">
      <c r="A45" s="12"/>
      <c r="B45" s="12"/>
      <c r="C45" s="12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2"/>
      <c r="R45" s="12"/>
    </row>
    <row r="46" spans="1:18" ht="20.100000000000001" customHeight="1" x14ac:dyDescent="0.2">
      <c r="A46" s="12"/>
      <c r="B46" s="12"/>
      <c r="C46" s="12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2"/>
      <c r="R46" s="12"/>
    </row>
    <row r="47" spans="1:18" ht="20.100000000000001" customHeight="1" x14ac:dyDescent="0.2">
      <c r="A47" s="12"/>
      <c r="B47" s="12"/>
      <c r="C47" s="1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2"/>
      <c r="R47" s="12"/>
    </row>
    <row r="48" spans="1:18" ht="20.100000000000001" customHeight="1" x14ac:dyDescent="0.2">
      <c r="A48" s="12"/>
      <c r="B48" s="12"/>
      <c r="C48" s="1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2"/>
      <c r="R48" s="12"/>
    </row>
    <row r="49" spans="1:18" ht="20.100000000000001" customHeight="1" x14ac:dyDescent="0.2">
      <c r="A49" s="12"/>
      <c r="B49" s="12"/>
      <c r="C49" s="12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2"/>
      <c r="R49" s="12"/>
    </row>
    <row r="50" spans="1:18" ht="20.100000000000001" customHeight="1" x14ac:dyDescent="0.2">
      <c r="A50" s="12"/>
      <c r="B50" s="12"/>
      <c r="C50" s="12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2"/>
      <c r="R50" s="12"/>
    </row>
    <row r="51" spans="1:18" ht="20.100000000000001" customHeight="1" x14ac:dyDescent="0.2">
      <c r="A51" s="12"/>
      <c r="B51" s="12"/>
      <c r="C51" s="12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2"/>
      <c r="R51" s="12"/>
    </row>
    <row r="52" spans="1:18" ht="20.100000000000001" customHeight="1" x14ac:dyDescent="0.2">
      <c r="A52" s="12"/>
      <c r="B52" s="12"/>
      <c r="C52" s="12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2"/>
      <c r="R52" s="12"/>
    </row>
    <row r="53" spans="1:18" ht="20.100000000000001" customHeight="1" x14ac:dyDescent="0.2">
      <c r="A53" s="12"/>
      <c r="B53" s="12"/>
      <c r="C53" s="1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2"/>
      <c r="R53" s="12"/>
    </row>
    <row r="54" spans="1:18" ht="20.100000000000001" customHeight="1" x14ac:dyDescent="0.2">
      <c r="A54" s="12"/>
      <c r="B54" s="12"/>
      <c r="C54" s="12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2"/>
      <c r="R54" s="12"/>
    </row>
    <row r="55" spans="1:18" ht="20.100000000000001" customHeight="1" x14ac:dyDescent="0.2">
      <c r="A55" s="12"/>
      <c r="B55" s="12"/>
      <c r="C55" s="12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2"/>
      <c r="R55" s="12"/>
    </row>
    <row r="56" spans="1:18" ht="20.100000000000001" customHeight="1" x14ac:dyDescent="0.2">
      <c r="A56" s="12"/>
      <c r="B56" s="12"/>
      <c r="C56" s="12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2"/>
      <c r="R56" s="12"/>
    </row>
    <row r="57" spans="1:18" ht="20.100000000000001" customHeight="1" x14ac:dyDescent="0.2">
      <c r="A57" s="12"/>
      <c r="B57" s="12"/>
      <c r="C57" s="12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2"/>
      <c r="R57" s="12"/>
    </row>
    <row r="58" spans="1:18" ht="20.100000000000001" customHeight="1" x14ac:dyDescent="0.2">
      <c r="A58" s="42">
        <v>0</v>
      </c>
      <c r="B58" s="42">
        <v>0</v>
      </c>
      <c r="C58" s="42"/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5"/>
    </row>
  </sheetData>
  <mergeCells count="1">
    <mergeCell ref="D4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789D-A595-47CE-9167-069285405201}">
  <sheetPr>
    <tabColor rgb="FF00FFFF"/>
  </sheetPr>
  <dimension ref="A1:N12"/>
  <sheetViews>
    <sheetView workbookViewId="0">
      <pane ySplit="1" topLeftCell="A2" activePane="bottomLeft" state="frozen"/>
      <selection activeCell="I6" sqref="I6"/>
      <selection pane="bottomLeft" activeCell="H30" sqref="H30"/>
    </sheetView>
  </sheetViews>
  <sheetFormatPr defaultColWidth="9.140625" defaultRowHeight="12.75" x14ac:dyDescent="0.2"/>
  <cols>
    <col min="1" max="1" width="9.140625" style="6"/>
    <col min="2" max="2" width="21.28515625" style="6" customWidth="1"/>
    <col min="3" max="3" width="16.140625" style="6" customWidth="1"/>
    <col min="4" max="4" width="13.5703125" style="6" customWidth="1"/>
    <col min="5" max="5" width="25.85546875" style="6" customWidth="1"/>
    <col min="6" max="6" width="24.28515625" style="6" customWidth="1"/>
    <col min="7" max="7" width="22" style="6" customWidth="1"/>
    <col min="8" max="8" width="13.5703125" style="48" customWidth="1"/>
    <col min="9" max="9" width="12.7109375" style="48" customWidth="1"/>
    <col min="10" max="11" width="13.5703125" style="18" customWidth="1"/>
    <col min="12" max="12" width="17.42578125" style="6" customWidth="1"/>
    <col min="13" max="16384" width="9.140625" style="6"/>
  </cols>
  <sheetData>
    <row r="1" spans="1:14" s="23" customFormat="1" ht="42.75" customHeight="1" x14ac:dyDescent="0.2">
      <c r="A1" s="10" t="s">
        <v>23</v>
      </c>
      <c r="B1" s="10" t="s">
        <v>80</v>
      </c>
      <c r="C1" s="10" t="s">
        <v>1</v>
      </c>
      <c r="D1" s="10" t="s">
        <v>24</v>
      </c>
      <c r="E1" s="10" t="s">
        <v>113</v>
      </c>
      <c r="F1" s="10" t="s">
        <v>114</v>
      </c>
      <c r="G1" s="10" t="s">
        <v>106</v>
      </c>
      <c r="H1" s="43" t="s">
        <v>107</v>
      </c>
      <c r="I1" s="43" t="s">
        <v>108</v>
      </c>
      <c r="J1" s="44" t="s">
        <v>109</v>
      </c>
      <c r="K1" s="44" t="s">
        <v>111</v>
      </c>
      <c r="L1" s="10" t="s">
        <v>29</v>
      </c>
    </row>
    <row r="2" spans="1:14" ht="19.5" customHeight="1" x14ac:dyDescent="0.2">
      <c r="A2" s="17">
        <v>1</v>
      </c>
      <c r="B2" s="12" t="s">
        <v>87</v>
      </c>
      <c r="C2" s="12"/>
      <c r="D2" s="12"/>
      <c r="E2" s="12"/>
      <c r="F2" s="12"/>
      <c r="G2" s="12"/>
      <c r="H2" s="13">
        <v>46143</v>
      </c>
      <c r="I2" s="13">
        <v>46167</v>
      </c>
      <c r="J2" s="12">
        <f ca="1">TODAY()-I2</f>
        <v>11</v>
      </c>
      <c r="K2" s="12"/>
      <c r="L2" s="12"/>
      <c r="M2" s="23"/>
      <c r="N2" s="23"/>
    </row>
    <row r="3" spans="1:14" ht="19.5" customHeight="1" x14ac:dyDescent="0.2">
      <c r="A3" s="17"/>
      <c r="B3" s="12" t="s">
        <v>87</v>
      </c>
      <c r="C3" s="12"/>
      <c r="D3" s="12"/>
      <c r="E3" s="12"/>
      <c r="F3" s="12"/>
      <c r="G3" s="12"/>
      <c r="H3" s="13"/>
      <c r="I3" s="13"/>
      <c r="J3" s="45"/>
      <c r="K3" s="45"/>
      <c r="L3" s="12"/>
      <c r="M3" s="23"/>
      <c r="N3" s="23"/>
    </row>
    <row r="4" spans="1:14" ht="19.5" customHeight="1" x14ac:dyDescent="0.2">
      <c r="A4" s="17"/>
      <c r="B4" s="12" t="s">
        <v>87</v>
      </c>
      <c r="C4" s="12"/>
      <c r="D4" s="12"/>
      <c r="E4" s="12"/>
      <c r="F4" s="12"/>
      <c r="G4" s="12"/>
      <c r="H4" s="13"/>
      <c r="I4" s="13"/>
      <c r="J4" s="45"/>
      <c r="K4" s="45"/>
      <c r="L4" s="12"/>
      <c r="M4" s="23"/>
      <c r="N4" s="23"/>
    </row>
    <row r="5" spans="1:14" ht="19.5" customHeight="1" x14ac:dyDescent="0.2">
      <c r="A5" s="17"/>
      <c r="B5" s="12" t="s">
        <v>87</v>
      </c>
      <c r="C5" s="12"/>
      <c r="D5" s="12"/>
      <c r="E5" s="12"/>
      <c r="F5" s="12"/>
      <c r="G5" s="12"/>
      <c r="H5" s="13"/>
      <c r="I5" s="13"/>
      <c r="J5" s="45"/>
      <c r="K5" s="45"/>
      <c r="L5" s="12"/>
      <c r="M5" s="23"/>
      <c r="N5" s="23"/>
    </row>
    <row r="6" spans="1:14" ht="19.5" customHeight="1" x14ac:dyDescent="0.2">
      <c r="A6" s="12"/>
      <c r="B6" s="12"/>
      <c r="C6" s="12"/>
      <c r="D6" s="12"/>
      <c r="E6" s="12"/>
      <c r="F6" s="12"/>
      <c r="G6" s="12"/>
      <c r="H6" s="13"/>
      <c r="I6" s="13"/>
      <c r="J6" s="45"/>
      <c r="K6" s="45"/>
      <c r="L6" s="12"/>
      <c r="M6" s="23"/>
      <c r="N6" s="23"/>
    </row>
    <row r="7" spans="1:14" ht="19.5" customHeight="1" x14ac:dyDescent="0.2">
      <c r="A7" s="12"/>
      <c r="B7" s="12"/>
      <c r="C7" s="12"/>
      <c r="D7" s="12"/>
      <c r="E7" s="12"/>
      <c r="F7" s="12"/>
      <c r="G7" s="12"/>
      <c r="H7" s="13"/>
      <c r="I7" s="13"/>
      <c r="J7" s="45"/>
      <c r="K7" s="45"/>
      <c r="L7" s="12"/>
      <c r="M7" s="23"/>
      <c r="N7" s="23"/>
    </row>
    <row r="8" spans="1:14" ht="19.5" customHeight="1" x14ac:dyDescent="0.2">
      <c r="A8" s="12"/>
      <c r="B8" s="12"/>
      <c r="C8" s="12"/>
      <c r="D8" s="12"/>
      <c r="E8" s="12"/>
      <c r="F8" s="12"/>
      <c r="G8" s="12"/>
      <c r="H8" s="13"/>
      <c r="I8" s="13"/>
      <c r="J8" s="45"/>
      <c r="K8" s="45"/>
      <c r="L8" s="12"/>
      <c r="M8" s="23"/>
      <c r="N8" s="23"/>
    </row>
    <row r="9" spans="1:14" ht="19.5" customHeight="1" x14ac:dyDescent="0.2">
      <c r="A9" s="12"/>
      <c r="B9" s="12"/>
      <c r="C9" s="12"/>
      <c r="D9" s="12"/>
      <c r="E9" s="12"/>
      <c r="F9" s="12"/>
      <c r="G9" s="12"/>
      <c r="H9" s="13"/>
      <c r="I9" s="13"/>
      <c r="J9" s="45"/>
      <c r="K9" s="45"/>
      <c r="L9" s="12"/>
      <c r="M9" s="23"/>
      <c r="N9" s="23"/>
    </row>
    <row r="10" spans="1:14" ht="19.5" customHeight="1" x14ac:dyDescent="0.2">
      <c r="A10" s="12"/>
      <c r="B10" s="12"/>
      <c r="C10" s="12"/>
      <c r="D10" s="12"/>
      <c r="E10" s="12"/>
      <c r="F10" s="12"/>
      <c r="G10" s="12"/>
      <c r="H10" s="13"/>
      <c r="I10" s="13"/>
      <c r="J10" s="45"/>
      <c r="K10" s="45"/>
      <c r="L10" s="12"/>
      <c r="M10" s="23"/>
      <c r="N10" s="23"/>
    </row>
    <row r="11" spans="1:14" ht="19.5" customHeight="1" x14ac:dyDescent="0.2">
      <c r="A11" s="46" t="s">
        <v>12</v>
      </c>
      <c r="B11" s="46"/>
      <c r="C11" s="46"/>
      <c r="D11" s="46"/>
      <c r="E11" s="46" t="s">
        <v>12</v>
      </c>
      <c r="F11" s="46" t="s">
        <v>12</v>
      </c>
      <c r="G11" s="46" t="s">
        <v>12</v>
      </c>
      <c r="H11" s="47" t="s">
        <v>12</v>
      </c>
      <c r="I11" s="47" t="s">
        <v>12</v>
      </c>
      <c r="J11" s="46"/>
      <c r="K11" s="46"/>
      <c r="L11" s="46" t="s">
        <v>12</v>
      </c>
      <c r="M11" s="23"/>
      <c r="N11" s="23"/>
    </row>
    <row r="12" spans="1:14" x14ac:dyDescent="0.2">
      <c r="M12" s="23"/>
      <c r="N12" s="23"/>
    </row>
  </sheetData>
  <autoFilter ref="E1:M1" xr:uid="{5D2FB232-73D5-4A85-99F1-D6EAFF234A7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23E2-5C98-4F74-A65B-B20021071907}">
  <dimension ref="A1:E5"/>
  <sheetViews>
    <sheetView tabSelected="1" workbookViewId="0">
      <selection activeCell="C1" sqref="C1"/>
    </sheetView>
  </sheetViews>
  <sheetFormatPr defaultRowHeight="15" x14ac:dyDescent="0.25"/>
  <cols>
    <col min="1" max="1" width="14.42578125" customWidth="1"/>
    <col min="2" max="2" width="21" customWidth="1"/>
    <col min="3" max="3" width="19.140625" customWidth="1"/>
    <col min="4" max="4" width="18.42578125" customWidth="1"/>
    <col min="5" max="5" width="16.28515625" customWidth="1"/>
  </cols>
  <sheetData>
    <row r="1" spans="1:5" x14ac:dyDescent="0.25">
      <c r="A1" t="s">
        <v>119</v>
      </c>
    </row>
    <row r="2" spans="1:5" x14ac:dyDescent="0.25">
      <c r="B2" t="s">
        <v>115</v>
      </c>
      <c r="C2" t="s">
        <v>117</v>
      </c>
      <c r="D2" t="s">
        <v>116</v>
      </c>
      <c r="E2" t="s">
        <v>118</v>
      </c>
    </row>
    <row r="5" spans="1:5" x14ac:dyDescent="0.25">
      <c r="A5" t="s">
        <v>120</v>
      </c>
      <c r="B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Báo cáo theo từng loại CV</vt:lpstr>
      <vt:lpstr>Báo cáo theo tiến độ CV</vt:lpstr>
      <vt:lpstr>Báo cáo theo dõi nợ NSNN</vt:lpstr>
      <vt:lpstr>Theo dõi Hợp đồng KH.NCC</vt:lpstr>
      <vt:lpstr>HS lưu trữ khi QT</vt:lpstr>
      <vt:lpstr>Theo dõi Hợp đồng LĐ</vt:lpstr>
      <vt:lpstr>Lịch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 An</dc:creator>
  <cp:lastModifiedBy>Tâm An</cp:lastModifiedBy>
  <dcterms:created xsi:type="dcterms:W3CDTF">2026-06-05T01:44:02Z</dcterms:created>
  <dcterms:modified xsi:type="dcterms:W3CDTF">2026-06-05T02:49:25Z</dcterms:modified>
</cp:coreProperties>
</file>